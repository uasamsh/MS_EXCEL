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45c424bc2314ddf/Desktop/PROJECTS/MS Excel Data ANalysis Projects/"/>
    </mc:Choice>
  </mc:AlternateContent>
  <xr:revisionPtr revIDLastSave="1" documentId="8_{51D19830-AFFE-42FB-BD48-B9C5EB1D7704}" xr6:coauthVersionLast="47" xr6:coauthVersionMax="47" xr10:uidLastSave="{10B3F0FC-3003-4D58-B1E2-3E13646BE300}"/>
  <bookViews>
    <workbookView xWindow="-57720" yWindow="735" windowWidth="29040" windowHeight="15720" tabRatio="500" xr2:uid="{00000000-000D-0000-FFFF-FFFF00000000}"/>
  </bookViews>
  <sheets>
    <sheet name="US States Data" sheetId="1" r:id="rId1"/>
  </sheets>
  <definedNames>
    <definedName name="_xlchart.v1.0" hidden="1">'US States Data'!$A$4:$A$53</definedName>
    <definedName name="_xlchart.v1.1" hidden="1">'US States Data'!$B$3</definedName>
    <definedName name="_xlchart.v1.10" hidden="1">'US States Data'!$A$4:$A$53</definedName>
    <definedName name="_xlchart.v1.11" hidden="1">'US States Data'!$B$3</definedName>
    <definedName name="_xlchart.v1.12" hidden="1">'US States Data'!$B$4:$B$53</definedName>
    <definedName name="_xlchart.v1.13" hidden="1">'US States Data'!$C$3</definedName>
    <definedName name="_xlchart.v1.14" hidden="1">'US States Data'!$C$4:$C$53</definedName>
    <definedName name="_xlchart.v1.15" hidden="1">'US States Data'!$A$4:$A$53</definedName>
    <definedName name="_xlchart.v1.16" hidden="1">'US States Data'!$B$3</definedName>
    <definedName name="_xlchart.v1.17" hidden="1">'US States Data'!$B$4:$B$53</definedName>
    <definedName name="_xlchart.v1.18" hidden="1">'US States Data'!$C$3</definedName>
    <definedName name="_xlchart.v1.19" hidden="1">'US States Data'!$C$4:$C$53</definedName>
    <definedName name="_xlchart.v1.2" hidden="1">'US States Data'!$B$4:$B$53</definedName>
    <definedName name="_xlchart.v1.3" hidden="1">'US States Data'!$C$3</definedName>
    <definedName name="_xlchart.v1.4" hidden="1">'US States Data'!$C$4:$C$53</definedName>
    <definedName name="_xlchart.v1.5" hidden="1">'US States Data'!$A$4:$A$53</definedName>
    <definedName name="_xlchart.v1.6" hidden="1">'US States Data'!$B$3</definedName>
    <definedName name="_xlchart.v1.7" hidden="1">'US States Data'!$B$4:$B$53</definedName>
    <definedName name="_xlchart.v1.8" hidden="1">'US States Data'!$C$3</definedName>
    <definedName name="_xlchart.v1.9" hidden="1">'US States Data'!$C$4:$C$53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3" i="1" l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F10" i="1"/>
  <c r="C10" i="1"/>
  <c r="F9" i="1"/>
  <c r="C9" i="1"/>
  <c r="C8" i="1"/>
  <c r="F7" i="1"/>
  <c r="C7" i="1"/>
  <c r="F6" i="1"/>
  <c r="C6" i="1"/>
  <c r="C5" i="1"/>
  <c r="C4" i="1"/>
</calcChain>
</file>

<file path=xl/sharedStrings.xml><?xml version="1.0" encoding="utf-8"?>
<sst xmlns="http://schemas.openxmlformats.org/spreadsheetml/2006/main" count="61" uniqueCount="60">
  <si>
    <t>Dynamic Interactive US States Temperature Dashboard</t>
  </si>
  <si>
    <t>State</t>
  </si>
  <si>
    <t>Avg Annual Temp (°F)</t>
  </si>
  <si>
    <t>Highlighted Temp</t>
  </si>
  <si>
    <t>Interactive Selector</t>
  </si>
  <si>
    <t>Alabama</t>
  </si>
  <si>
    <t>Select State:</t>
  </si>
  <si>
    <t>Florida</t>
  </si>
  <si>
    <t>Alaska</t>
  </si>
  <si>
    <t>Arizona</t>
  </si>
  <si>
    <t>Selected State Temp (°F):</t>
  </si>
  <si>
    <t>Arkansas</t>
  </si>
  <si>
    <t>US Average (excl. AK/HI):</t>
  </si>
  <si>
    <t>California</t>
  </si>
  <si>
    <t>Colorado</t>
  </si>
  <si>
    <t>Hottest State:</t>
  </si>
  <si>
    <t>Connecticut</t>
  </si>
  <si>
    <t>Coldest State: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</si>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</sst>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2CC"/>
        <bgColor rgb="FFF9F9F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/>
    <xf numFmtId="164" fontId="3" fillId="0" borderId="1" xfId="0" applyNumberFormat="1" applyFont="1" applyBorder="1"/>
    <xf numFmtId="0" fontId="4" fillId="0" borderId="1" xfId="0" applyFont="1" applyBorder="1"/>
    <xf numFmtId="0" fontId="4" fillId="3" borderId="1" xfId="0" applyFont="1" applyFill="1" applyBorder="1" applyAlignment="1">
      <alignment horizontal="center"/>
    </xf>
    <xf numFmtId="0" fontId="4" fillId="0" borderId="0" xfId="0" applyFont="1"/>
    <xf numFmtId="164" fontId="4" fillId="3" borderId="0" xfId="0" applyNumberFormat="1" applyFont="1" applyFill="1"/>
    <xf numFmtId="164" fontId="3" fillId="0" borderId="0" xfId="0" applyNumberFormat="1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US States - Average Annual Temperature (°F)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'US States Data'!$B$3</c:f>
              <c:strCache>
                <c:ptCount val="1"/>
                <c:pt idx="0">
                  <c:v>Avg Annual Temp (°F)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'US States Data'!$A$4:$A$53</c:f>
              <c:strCache>
                <c:ptCount val="50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Florida</c:v>
                </c:pt>
                <c:pt idx="9">
                  <c:v>Georgia</c:v>
                </c:pt>
                <c:pt idx="10">
                  <c:v>Hawaii</c:v>
                </c:pt>
                <c:pt idx="11">
                  <c:v>Idaho</c:v>
                </c:pt>
                <c:pt idx="12">
                  <c:v>Illinois</c:v>
                </c:pt>
                <c:pt idx="13">
                  <c:v>Indiana</c:v>
                </c:pt>
                <c:pt idx="14">
                  <c:v>Iowa</c:v>
                </c:pt>
                <c:pt idx="15">
                  <c:v>Kansas</c:v>
                </c:pt>
                <c:pt idx="16">
                  <c:v>Kentucky</c:v>
                </c:pt>
                <c:pt idx="17">
                  <c:v>Louisiana</c:v>
                </c:pt>
                <c:pt idx="18">
                  <c:v>Maine</c:v>
                </c:pt>
                <c:pt idx="19">
                  <c:v>Maryland</c:v>
                </c:pt>
                <c:pt idx="20">
                  <c:v>Massachusetts</c:v>
                </c:pt>
                <c:pt idx="21">
                  <c:v>Michigan</c:v>
                </c:pt>
                <c:pt idx="22">
                  <c:v>Minnesota</c:v>
                </c:pt>
                <c:pt idx="23">
                  <c:v>Mississippi</c:v>
                </c:pt>
                <c:pt idx="24">
                  <c:v>Missouri</c:v>
                </c:pt>
                <c:pt idx="25">
                  <c:v>Montana</c:v>
                </c:pt>
                <c:pt idx="26">
                  <c:v>Nebraska</c:v>
                </c:pt>
                <c:pt idx="27">
                  <c:v>Nevada</c:v>
                </c:pt>
                <c:pt idx="28">
                  <c:v>New Hampshire</c:v>
                </c:pt>
                <c:pt idx="29">
                  <c:v>New Jersey</c:v>
                </c:pt>
                <c:pt idx="30">
                  <c:v>New Mexico</c:v>
                </c:pt>
                <c:pt idx="31">
                  <c:v>New York</c:v>
                </c:pt>
                <c:pt idx="32">
                  <c:v>North Carolina</c:v>
                </c:pt>
                <c:pt idx="33">
                  <c:v>North Dakota</c:v>
                </c:pt>
                <c:pt idx="34">
                  <c:v>Ohio</c:v>
                </c:pt>
                <c:pt idx="35">
                  <c:v>Oklahoma</c:v>
                </c:pt>
                <c:pt idx="36">
                  <c:v>Oregon</c:v>
                </c:pt>
                <c:pt idx="37">
                  <c:v>Pennsylvania</c:v>
                </c:pt>
                <c:pt idx="38">
                  <c:v>Rhode Island</c:v>
                </c:pt>
                <c:pt idx="39">
                  <c:v>South Carolina</c:v>
                </c:pt>
                <c:pt idx="40">
                  <c:v>South Dakota</c:v>
                </c:pt>
                <c:pt idx="41">
                  <c:v>Tennessee</c:v>
                </c:pt>
                <c:pt idx="42">
                  <c:v>Texas</c:v>
                </c:pt>
                <c:pt idx="43">
                  <c:v>Utah</c:v>
                </c:pt>
                <c:pt idx="44">
                  <c:v>Vermont</c:v>
                </c:pt>
                <c:pt idx="45">
                  <c:v>Virginia</c:v>
                </c:pt>
                <c:pt idx="46">
                  <c:v>Washington</c:v>
                </c:pt>
                <c:pt idx="47">
                  <c:v>West Virginia</c:v>
                </c:pt>
                <c:pt idx="48">
                  <c:v>Wisconsin</c:v>
                </c:pt>
                <c:pt idx="49">
                  <c:v>Wyoming</c:v>
                </c:pt>
              </c:strCache>
            </c:strRef>
          </c:cat>
          <c:val>
            <c:numRef>
              <c:f>'US States Data'!$B$4:$B$53</c:f>
              <c:numCache>
                <c:formatCode>0.0</c:formatCode>
                <c:ptCount val="50"/>
                <c:pt idx="0">
                  <c:v>62.8</c:v>
                </c:pt>
                <c:pt idx="1">
                  <c:v>26.6</c:v>
                </c:pt>
                <c:pt idx="2">
                  <c:v>60.3</c:v>
                </c:pt>
                <c:pt idx="3">
                  <c:v>60.4</c:v>
                </c:pt>
                <c:pt idx="4">
                  <c:v>59.4</c:v>
                </c:pt>
                <c:pt idx="5">
                  <c:v>45.1</c:v>
                </c:pt>
                <c:pt idx="6">
                  <c:v>49</c:v>
                </c:pt>
                <c:pt idx="7">
                  <c:v>55.3</c:v>
                </c:pt>
                <c:pt idx="8">
                  <c:v>70.7</c:v>
                </c:pt>
                <c:pt idx="9">
                  <c:v>63.5</c:v>
                </c:pt>
                <c:pt idx="10">
                  <c:v>70</c:v>
                </c:pt>
                <c:pt idx="11">
                  <c:v>44.4</c:v>
                </c:pt>
                <c:pt idx="12">
                  <c:v>51.8</c:v>
                </c:pt>
                <c:pt idx="13">
                  <c:v>51.7</c:v>
                </c:pt>
                <c:pt idx="14">
                  <c:v>47.8</c:v>
                </c:pt>
                <c:pt idx="15">
                  <c:v>54.3</c:v>
                </c:pt>
                <c:pt idx="16">
                  <c:v>55.6</c:v>
                </c:pt>
                <c:pt idx="17">
                  <c:v>66.400000000000006</c:v>
                </c:pt>
                <c:pt idx="18">
                  <c:v>41</c:v>
                </c:pt>
                <c:pt idx="19">
                  <c:v>54.2</c:v>
                </c:pt>
                <c:pt idx="20">
                  <c:v>47.9</c:v>
                </c:pt>
                <c:pt idx="21">
                  <c:v>44.4</c:v>
                </c:pt>
                <c:pt idx="22">
                  <c:v>41.2</c:v>
                </c:pt>
                <c:pt idx="23">
                  <c:v>63.4</c:v>
                </c:pt>
                <c:pt idx="24">
                  <c:v>54.5</c:v>
                </c:pt>
                <c:pt idx="25">
                  <c:v>42.7</c:v>
                </c:pt>
                <c:pt idx="26">
                  <c:v>48.8</c:v>
                </c:pt>
                <c:pt idx="27">
                  <c:v>49.9</c:v>
                </c:pt>
                <c:pt idx="28">
                  <c:v>43.8</c:v>
                </c:pt>
                <c:pt idx="29">
                  <c:v>52.7</c:v>
                </c:pt>
                <c:pt idx="30">
                  <c:v>53.4</c:v>
                </c:pt>
                <c:pt idx="31">
                  <c:v>45.4</c:v>
                </c:pt>
                <c:pt idx="32">
                  <c:v>59</c:v>
                </c:pt>
                <c:pt idx="33">
                  <c:v>40.4</c:v>
                </c:pt>
                <c:pt idx="34">
                  <c:v>50.7</c:v>
                </c:pt>
                <c:pt idx="35">
                  <c:v>59.6</c:v>
                </c:pt>
                <c:pt idx="36">
                  <c:v>48.4</c:v>
                </c:pt>
                <c:pt idx="37">
                  <c:v>48.8</c:v>
                </c:pt>
                <c:pt idx="38">
                  <c:v>50.1</c:v>
                </c:pt>
                <c:pt idx="39">
                  <c:v>62.4</c:v>
                </c:pt>
                <c:pt idx="40">
                  <c:v>45.2</c:v>
                </c:pt>
                <c:pt idx="41">
                  <c:v>57.6</c:v>
                </c:pt>
                <c:pt idx="42">
                  <c:v>64.8</c:v>
                </c:pt>
                <c:pt idx="43">
                  <c:v>48.6</c:v>
                </c:pt>
                <c:pt idx="44">
                  <c:v>42.9</c:v>
                </c:pt>
                <c:pt idx="45">
                  <c:v>55.1</c:v>
                </c:pt>
                <c:pt idx="46">
                  <c:v>48.3</c:v>
                </c:pt>
                <c:pt idx="47">
                  <c:v>51.8</c:v>
                </c:pt>
                <c:pt idx="48">
                  <c:v>43.1</c:v>
                </c:pt>
                <c:pt idx="49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81-41F2-9242-180E9968D7EF}"/>
            </c:ext>
          </c:extLst>
        </c:ser>
        <c:ser>
          <c:idx val="1"/>
          <c:order val="1"/>
          <c:tx>
            <c:strRef>
              <c:f>'US States Data'!$C$3</c:f>
              <c:strCache>
                <c:ptCount val="1"/>
                <c:pt idx="0">
                  <c:v>Highlighted Temp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 States Data'!$A$4:$A$53</c:f>
              <c:strCache>
                <c:ptCount val="50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Florida</c:v>
                </c:pt>
                <c:pt idx="9">
                  <c:v>Georgia</c:v>
                </c:pt>
                <c:pt idx="10">
                  <c:v>Hawaii</c:v>
                </c:pt>
                <c:pt idx="11">
                  <c:v>Idaho</c:v>
                </c:pt>
                <c:pt idx="12">
                  <c:v>Illinois</c:v>
                </c:pt>
                <c:pt idx="13">
                  <c:v>Indiana</c:v>
                </c:pt>
                <c:pt idx="14">
                  <c:v>Iowa</c:v>
                </c:pt>
                <c:pt idx="15">
                  <c:v>Kansas</c:v>
                </c:pt>
                <c:pt idx="16">
                  <c:v>Kentucky</c:v>
                </c:pt>
                <c:pt idx="17">
                  <c:v>Louisiana</c:v>
                </c:pt>
                <c:pt idx="18">
                  <c:v>Maine</c:v>
                </c:pt>
                <c:pt idx="19">
                  <c:v>Maryland</c:v>
                </c:pt>
                <c:pt idx="20">
                  <c:v>Massachusetts</c:v>
                </c:pt>
                <c:pt idx="21">
                  <c:v>Michigan</c:v>
                </c:pt>
                <c:pt idx="22">
                  <c:v>Minnesota</c:v>
                </c:pt>
                <c:pt idx="23">
                  <c:v>Mississippi</c:v>
                </c:pt>
                <c:pt idx="24">
                  <c:v>Missouri</c:v>
                </c:pt>
                <c:pt idx="25">
                  <c:v>Montana</c:v>
                </c:pt>
                <c:pt idx="26">
                  <c:v>Nebraska</c:v>
                </c:pt>
                <c:pt idx="27">
                  <c:v>Nevada</c:v>
                </c:pt>
                <c:pt idx="28">
                  <c:v>New Hampshire</c:v>
                </c:pt>
                <c:pt idx="29">
                  <c:v>New Jersey</c:v>
                </c:pt>
                <c:pt idx="30">
                  <c:v>New Mexico</c:v>
                </c:pt>
                <c:pt idx="31">
                  <c:v>New York</c:v>
                </c:pt>
                <c:pt idx="32">
                  <c:v>North Carolina</c:v>
                </c:pt>
                <c:pt idx="33">
                  <c:v>North Dakota</c:v>
                </c:pt>
                <c:pt idx="34">
                  <c:v>Ohio</c:v>
                </c:pt>
                <c:pt idx="35">
                  <c:v>Oklahoma</c:v>
                </c:pt>
                <c:pt idx="36">
                  <c:v>Oregon</c:v>
                </c:pt>
                <c:pt idx="37">
                  <c:v>Pennsylvania</c:v>
                </c:pt>
                <c:pt idx="38">
                  <c:v>Rhode Island</c:v>
                </c:pt>
                <c:pt idx="39">
                  <c:v>South Carolina</c:v>
                </c:pt>
                <c:pt idx="40">
                  <c:v>South Dakota</c:v>
                </c:pt>
                <c:pt idx="41">
                  <c:v>Tennessee</c:v>
                </c:pt>
                <c:pt idx="42">
                  <c:v>Texas</c:v>
                </c:pt>
                <c:pt idx="43">
                  <c:v>Utah</c:v>
                </c:pt>
                <c:pt idx="44">
                  <c:v>Vermont</c:v>
                </c:pt>
                <c:pt idx="45">
                  <c:v>Virginia</c:v>
                </c:pt>
                <c:pt idx="46">
                  <c:v>Washington</c:v>
                </c:pt>
                <c:pt idx="47">
                  <c:v>West Virginia</c:v>
                </c:pt>
                <c:pt idx="48">
                  <c:v>Wisconsin</c:v>
                </c:pt>
                <c:pt idx="49">
                  <c:v>Wyoming</c:v>
                </c:pt>
              </c:strCache>
            </c:strRef>
          </c:cat>
          <c:val>
            <c:numRef>
              <c:f>'US States Data'!$C$4:$C$53</c:f>
              <c:numCache>
                <c:formatCode>0.0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48.3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81-41F2-9242-180E9968D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90920075"/>
        <c:axId val="84753661"/>
      </c:barChart>
      <c:catAx>
        <c:axId val="9092007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Temperature (°F)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753661"/>
        <c:crosses val="autoZero"/>
        <c:auto val="1"/>
        <c:lblAlgn val="ctr"/>
        <c:lblOffset val="100"/>
        <c:noMultiLvlLbl val="0"/>
      </c:catAx>
      <c:valAx>
        <c:axId val="8475366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State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9200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160560</xdr:rowOff>
    </xdr:from>
    <xdr:to>
      <xdr:col>20</xdr:col>
      <xdr:colOff>375</xdr:colOff>
      <xdr:row>65</xdr:row>
      <xdr:rowOff>57600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zoomScaleNormal="100" workbookViewId="0">
      <pane ySplit="3" topLeftCell="A4" activePane="bottomLeft" state="frozen"/>
      <selection pane="bottomLeft" activeCell="F4" sqref="F4"/>
    </sheetView>
  </sheetViews>
  <sheetFormatPr defaultColWidth="8.6640625" defaultRowHeight="14.4" x14ac:dyDescent="0.3"/>
  <cols>
    <col min="1" max="1" width="16" customWidth="1"/>
    <col min="2" max="2" width="20" customWidth="1"/>
    <col min="3" max="3" width="16" customWidth="1"/>
    <col min="4" max="4" width="3" customWidth="1"/>
    <col min="5" max="5" width="24" customWidth="1"/>
    <col min="6" max="6" width="14" customWidth="1"/>
  </cols>
  <sheetData>
    <row r="1" spans="1:6" ht="17.399999999999999" x14ac:dyDescent="0.3">
      <c r="A1" s="10" t="s">
        <v>0</v>
      </c>
      <c r="B1" s="10"/>
      <c r="C1" s="10"/>
    </row>
    <row r="3" spans="1:6" ht="28.2" x14ac:dyDescent="0.3">
      <c r="A3" s="1" t="s">
        <v>1</v>
      </c>
      <c r="B3" s="1" t="s">
        <v>2</v>
      </c>
      <c r="C3" s="1" t="s">
        <v>3</v>
      </c>
      <c r="E3" s="10" t="s">
        <v>4</v>
      </c>
      <c r="F3" s="10"/>
    </row>
    <row r="4" spans="1:6" x14ac:dyDescent="0.3">
      <c r="A4" s="2" t="s">
        <v>5</v>
      </c>
      <c r="B4" s="3">
        <v>62.8</v>
      </c>
      <c r="C4" s="3" t="str">
        <f t="shared" ref="C4:C35" si="0">IF(A4=$F$4,B4,"")</f>
        <v/>
      </c>
      <c r="E4" s="4" t="s">
        <v>6</v>
      </c>
      <c r="F4" s="5" t="s">
        <v>56</v>
      </c>
    </row>
    <row r="5" spans="1:6" x14ac:dyDescent="0.3">
      <c r="A5" s="2" t="s">
        <v>8</v>
      </c>
      <c r="B5" s="3">
        <v>26.6</v>
      </c>
      <c r="C5" s="3" t="str">
        <f t="shared" si="0"/>
        <v/>
      </c>
    </row>
    <row r="6" spans="1:6" x14ac:dyDescent="0.3">
      <c r="A6" s="2" t="s">
        <v>9</v>
      </c>
      <c r="B6" s="3">
        <v>60.3</v>
      </c>
      <c r="C6" s="3" t="str">
        <f t="shared" si="0"/>
        <v/>
      </c>
      <c r="E6" s="6" t="s">
        <v>10</v>
      </c>
      <c r="F6" s="7">
        <f>VLOOKUP(F4,A4:B53,2,0)</f>
        <v>48.3</v>
      </c>
    </row>
    <row r="7" spans="1:6" x14ac:dyDescent="0.3">
      <c r="A7" s="2" t="s">
        <v>11</v>
      </c>
      <c r="B7" s="3">
        <v>60.4</v>
      </c>
      <c r="C7" s="3" t="str">
        <f t="shared" si="0"/>
        <v/>
      </c>
      <c r="E7" s="6" t="s">
        <v>12</v>
      </c>
      <c r="F7" s="8">
        <f>(SUM(B4:B53)-B5-B14)/(COUNT(B4:B53)-2)</f>
        <v>52.095833333333353</v>
      </c>
    </row>
    <row r="8" spans="1:6" x14ac:dyDescent="0.3">
      <c r="A8" s="2" t="s">
        <v>13</v>
      </c>
      <c r="B8" s="3">
        <v>59.4</v>
      </c>
      <c r="C8" s="3" t="str">
        <f t="shared" si="0"/>
        <v/>
      </c>
    </row>
    <row r="9" spans="1:6" x14ac:dyDescent="0.3">
      <c r="A9" s="2" t="s">
        <v>14</v>
      </c>
      <c r="B9" s="3">
        <v>45.1</v>
      </c>
      <c r="C9" s="3" t="str">
        <f t="shared" si="0"/>
        <v/>
      </c>
      <c r="E9" s="6" t="s">
        <v>15</v>
      </c>
      <c r="F9" s="9" t="str">
        <f>INDEX(A4:A53,MATCH(MAX(B4:B53),B4:B53,0))</f>
        <v>Florida</v>
      </c>
    </row>
    <row r="10" spans="1:6" x14ac:dyDescent="0.3">
      <c r="A10" s="2" t="s">
        <v>16</v>
      </c>
      <c r="B10" s="3">
        <v>49</v>
      </c>
      <c r="C10" s="3" t="str">
        <f t="shared" si="0"/>
        <v/>
      </c>
      <c r="E10" s="6" t="s">
        <v>17</v>
      </c>
      <c r="F10" s="9" t="str">
        <f>INDEX(A4:A53,MATCH(MIN(B4:B53),B4:B53,0))</f>
        <v>Alaska</v>
      </c>
    </row>
    <row r="11" spans="1:6" x14ac:dyDescent="0.3">
      <c r="A11" s="2" t="s">
        <v>18</v>
      </c>
      <c r="B11" s="3">
        <v>55.3</v>
      </c>
      <c r="C11" s="3" t="str">
        <f t="shared" si="0"/>
        <v/>
      </c>
    </row>
    <row r="12" spans="1:6" x14ac:dyDescent="0.3">
      <c r="A12" s="2" t="s">
        <v>7</v>
      </c>
      <c r="B12" s="3">
        <v>70.7</v>
      </c>
      <c r="C12" s="3" t="str">
        <f t="shared" si="0"/>
        <v/>
      </c>
    </row>
    <row r="13" spans="1:6" x14ac:dyDescent="0.3">
      <c r="A13" s="2" t="s">
        <v>19</v>
      </c>
      <c r="B13" s="3">
        <v>63.5</v>
      </c>
      <c r="C13" s="3" t="str">
        <f t="shared" si="0"/>
        <v/>
      </c>
    </row>
    <row r="14" spans="1:6" x14ac:dyDescent="0.3">
      <c r="A14" s="2" t="s">
        <v>20</v>
      </c>
      <c r="B14" s="3">
        <v>70</v>
      </c>
      <c r="C14" s="3" t="str">
        <f t="shared" si="0"/>
        <v/>
      </c>
    </row>
    <row r="15" spans="1:6" x14ac:dyDescent="0.3">
      <c r="A15" s="2" t="s">
        <v>21</v>
      </c>
      <c r="B15" s="3">
        <v>44.4</v>
      </c>
      <c r="C15" s="3" t="str">
        <f t="shared" si="0"/>
        <v/>
      </c>
    </row>
    <row r="16" spans="1:6" x14ac:dyDescent="0.3">
      <c r="A16" s="2" t="s">
        <v>22</v>
      </c>
      <c r="B16" s="3">
        <v>51.8</v>
      </c>
      <c r="C16" s="3" t="str">
        <f t="shared" si="0"/>
        <v/>
      </c>
    </row>
    <row r="17" spans="1:3" x14ac:dyDescent="0.3">
      <c r="A17" s="2" t="s">
        <v>23</v>
      </c>
      <c r="B17" s="3">
        <v>51.7</v>
      </c>
      <c r="C17" s="3" t="str">
        <f t="shared" si="0"/>
        <v/>
      </c>
    </row>
    <row r="18" spans="1:3" x14ac:dyDescent="0.3">
      <c r="A18" s="2" t="s">
        <v>24</v>
      </c>
      <c r="B18" s="3">
        <v>47.8</v>
      </c>
      <c r="C18" s="3" t="str">
        <f t="shared" si="0"/>
        <v/>
      </c>
    </row>
    <row r="19" spans="1:3" x14ac:dyDescent="0.3">
      <c r="A19" s="2" t="s">
        <v>25</v>
      </c>
      <c r="B19" s="3">
        <v>54.3</v>
      </c>
      <c r="C19" s="3" t="str">
        <f t="shared" si="0"/>
        <v/>
      </c>
    </row>
    <row r="20" spans="1:3" x14ac:dyDescent="0.3">
      <c r="A20" s="2" t="s">
        <v>26</v>
      </c>
      <c r="B20" s="3">
        <v>55.6</v>
      </c>
      <c r="C20" s="3" t="str">
        <f t="shared" si="0"/>
        <v/>
      </c>
    </row>
    <row r="21" spans="1:3" x14ac:dyDescent="0.3">
      <c r="A21" s="2" t="s">
        <v>27</v>
      </c>
      <c r="B21" s="3">
        <v>66.400000000000006</v>
      </c>
      <c r="C21" s="3" t="str">
        <f t="shared" si="0"/>
        <v/>
      </c>
    </row>
    <row r="22" spans="1:3" x14ac:dyDescent="0.3">
      <c r="A22" s="2" t="s">
        <v>28</v>
      </c>
      <c r="B22" s="3">
        <v>41</v>
      </c>
      <c r="C22" s="3" t="str">
        <f t="shared" si="0"/>
        <v/>
      </c>
    </row>
    <row r="23" spans="1:3" x14ac:dyDescent="0.3">
      <c r="A23" s="2" t="s">
        <v>29</v>
      </c>
      <c r="B23" s="3">
        <v>54.2</v>
      </c>
      <c r="C23" s="3" t="str">
        <f t="shared" si="0"/>
        <v/>
      </c>
    </row>
    <row r="24" spans="1:3" x14ac:dyDescent="0.3">
      <c r="A24" s="2" t="s">
        <v>30</v>
      </c>
      <c r="B24" s="3">
        <v>47.9</v>
      </c>
      <c r="C24" s="3" t="str">
        <f t="shared" si="0"/>
        <v/>
      </c>
    </row>
    <row r="25" spans="1:3" x14ac:dyDescent="0.3">
      <c r="A25" s="2" t="s">
        <v>31</v>
      </c>
      <c r="B25" s="3">
        <v>44.4</v>
      </c>
      <c r="C25" s="3" t="str">
        <f t="shared" si="0"/>
        <v/>
      </c>
    </row>
    <row r="26" spans="1:3" x14ac:dyDescent="0.3">
      <c r="A26" s="2" t="s">
        <v>32</v>
      </c>
      <c r="B26" s="3">
        <v>41.2</v>
      </c>
      <c r="C26" s="3" t="str">
        <f t="shared" si="0"/>
        <v/>
      </c>
    </row>
    <row r="27" spans="1:3" x14ac:dyDescent="0.3">
      <c r="A27" s="2" t="s">
        <v>33</v>
      </c>
      <c r="B27" s="3">
        <v>63.4</v>
      </c>
      <c r="C27" s="3" t="str">
        <f t="shared" si="0"/>
        <v/>
      </c>
    </row>
    <row r="28" spans="1:3" x14ac:dyDescent="0.3">
      <c r="A28" s="2" t="s">
        <v>34</v>
      </c>
      <c r="B28" s="3">
        <v>54.5</v>
      </c>
      <c r="C28" s="3" t="str">
        <f t="shared" si="0"/>
        <v/>
      </c>
    </row>
    <row r="29" spans="1:3" x14ac:dyDescent="0.3">
      <c r="A29" s="2" t="s">
        <v>35</v>
      </c>
      <c r="B29" s="3">
        <v>42.7</v>
      </c>
      <c r="C29" s="3" t="str">
        <f t="shared" si="0"/>
        <v/>
      </c>
    </row>
    <row r="30" spans="1:3" x14ac:dyDescent="0.3">
      <c r="A30" s="2" t="s">
        <v>36</v>
      </c>
      <c r="B30" s="3">
        <v>48.8</v>
      </c>
      <c r="C30" s="3" t="str">
        <f t="shared" si="0"/>
        <v/>
      </c>
    </row>
    <row r="31" spans="1:3" x14ac:dyDescent="0.3">
      <c r="A31" s="2" t="s">
        <v>37</v>
      </c>
      <c r="B31" s="3">
        <v>49.9</v>
      </c>
      <c r="C31" s="3" t="str">
        <f t="shared" si="0"/>
        <v/>
      </c>
    </row>
    <row r="32" spans="1:3" x14ac:dyDescent="0.3">
      <c r="A32" s="2" t="s">
        <v>38</v>
      </c>
      <c r="B32" s="3">
        <v>43.8</v>
      </c>
      <c r="C32" s="3" t="str">
        <f t="shared" si="0"/>
        <v/>
      </c>
    </row>
    <row r="33" spans="1:3" x14ac:dyDescent="0.3">
      <c r="A33" s="2" t="s">
        <v>39</v>
      </c>
      <c r="B33" s="3">
        <v>52.7</v>
      </c>
      <c r="C33" s="3" t="str">
        <f t="shared" si="0"/>
        <v/>
      </c>
    </row>
    <row r="34" spans="1:3" x14ac:dyDescent="0.3">
      <c r="A34" s="2" t="s">
        <v>40</v>
      </c>
      <c r="B34" s="3">
        <v>53.4</v>
      </c>
      <c r="C34" s="3" t="str">
        <f t="shared" si="0"/>
        <v/>
      </c>
    </row>
    <row r="35" spans="1:3" x14ac:dyDescent="0.3">
      <c r="A35" s="2" t="s">
        <v>41</v>
      </c>
      <c r="B35" s="3">
        <v>45.4</v>
      </c>
      <c r="C35" s="3" t="str">
        <f t="shared" si="0"/>
        <v/>
      </c>
    </row>
    <row r="36" spans="1:3" x14ac:dyDescent="0.3">
      <c r="A36" s="2" t="s">
        <v>42</v>
      </c>
      <c r="B36" s="3">
        <v>59</v>
      </c>
      <c r="C36" s="3" t="str">
        <f t="shared" ref="C36:C53" si="1">IF(A36=$F$4,B36,"")</f>
        <v/>
      </c>
    </row>
    <row r="37" spans="1:3" x14ac:dyDescent="0.3">
      <c r="A37" s="2" t="s">
        <v>43</v>
      </c>
      <c r="B37" s="3">
        <v>40.4</v>
      </c>
      <c r="C37" s="3" t="str">
        <f t="shared" si="1"/>
        <v/>
      </c>
    </row>
    <row r="38" spans="1:3" x14ac:dyDescent="0.3">
      <c r="A38" s="2" t="s">
        <v>44</v>
      </c>
      <c r="B38" s="3">
        <v>50.7</v>
      </c>
      <c r="C38" s="3" t="str">
        <f t="shared" si="1"/>
        <v/>
      </c>
    </row>
    <row r="39" spans="1:3" x14ac:dyDescent="0.3">
      <c r="A39" s="2" t="s">
        <v>45</v>
      </c>
      <c r="B39" s="3">
        <v>59.6</v>
      </c>
      <c r="C39" s="3" t="str">
        <f t="shared" si="1"/>
        <v/>
      </c>
    </row>
    <row r="40" spans="1:3" x14ac:dyDescent="0.3">
      <c r="A40" s="2" t="s">
        <v>46</v>
      </c>
      <c r="B40" s="3">
        <v>48.4</v>
      </c>
      <c r="C40" s="3" t="str">
        <f t="shared" si="1"/>
        <v/>
      </c>
    </row>
    <row r="41" spans="1:3" x14ac:dyDescent="0.3">
      <c r="A41" s="2" t="s">
        <v>47</v>
      </c>
      <c r="B41" s="3">
        <v>48.8</v>
      </c>
      <c r="C41" s="3" t="str">
        <f t="shared" si="1"/>
        <v/>
      </c>
    </row>
    <row r="42" spans="1:3" x14ac:dyDescent="0.3">
      <c r="A42" s="2" t="s">
        <v>48</v>
      </c>
      <c r="B42" s="3">
        <v>50.1</v>
      </c>
      <c r="C42" s="3" t="str">
        <f t="shared" si="1"/>
        <v/>
      </c>
    </row>
    <row r="43" spans="1:3" x14ac:dyDescent="0.3">
      <c r="A43" s="2" t="s">
        <v>49</v>
      </c>
      <c r="B43" s="3">
        <v>62.4</v>
      </c>
      <c r="C43" s="3" t="str">
        <f t="shared" si="1"/>
        <v/>
      </c>
    </row>
    <row r="44" spans="1:3" x14ac:dyDescent="0.3">
      <c r="A44" s="2" t="s">
        <v>50</v>
      </c>
      <c r="B44" s="3">
        <v>45.2</v>
      </c>
      <c r="C44" s="3" t="str">
        <f t="shared" si="1"/>
        <v/>
      </c>
    </row>
    <row r="45" spans="1:3" x14ac:dyDescent="0.3">
      <c r="A45" s="2" t="s">
        <v>51</v>
      </c>
      <c r="B45" s="3">
        <v>57.6</v>
      </c>
      <c r="C45" s="3" t="str">
        <f t="shared" si="1"/>
        <v/>
      </c>
    </row>
    <row r="46" spans="1:3" x14ac:dyDescent="0.3">
      <c r="A46" s="2" t="s">
        <v>52</v>
      </c>
      <c r="B46" s="3">
        <v>64.8</v>
      </c>
      <c r="C46" s="3" t="str">
        <f t="shared" si="1"/>
        <v/>
      </c>
    </row>
    <row r="47" spans="1:3" x14ac:dyDescent="0.3">
      <c r="A47" s="2" t="s">
        <v>53</v>
      </c>
      <c r="B47" s="3">
        <v>48.6</v>
      </c>
      <c r="C47" s="3" t="str">
        <f t="shared" si="1"/>
        <v/>
      </c>
    </row>
    <row r="48" spans="1:3" x14ac:dyDescent="0.3">
      <c r="A48" s="2" t="s">
        <v>54</v>
      </c>
      <c r="B48" s="3">
        <v>42.9</v>
      </c>
      <c r="C48" s="3" t="str">
        <f t="shared" si="1"/>
        <v/>
      </c>
    </row>
    <row r="49" spans="1:3" x14ac:dyDescent="0.3">
      <c r="A49" s="2" t="s">
        <v>55</v>
      </c>
      <c r="B49" s="3">
        <v>55.1</v>
      </c>
      <c r="C49" s="3" t="str">
        <f t="shared" si="1"/>
        <v/>
      </c>
    </row>
    <row r="50" spans="1:3" x14ac:dyDescent="0.3">
      <c r="A50" s="2" t="s">
        <v>56</v>
      </c>
      <c r="B50" s="3">
        <v>48.3</v>
      </c>
      <c r="C50" s="3">
        <f t="shared" si="1"/>
        <v>48.3</v>
      </c>
    </row>
    <row r="51" spans="1:3" x14ac:dyDescent="0.3">
      <c r="A51" s="2" t="s">
        <v>57</v>
      </c>
      <c r="B51" s="3">
        <v>51.8</v>
      </c>
      <c r="C51" s="3" t="str">
        <f t="shared" si="1"/>
        <v/>
      </c>
    </row>
    <row r="52" spans="1:3" x14ac:dyDescent="0.3">
      <c r="A52" s="2" t="s">
        <v>58</v>
      </c>
      <c r="B52" s="3">
        <v>43.1</v>
      </c>
      <c r="C52" s="3" t="str">
        <f t="shared" si="1"/>
        <v/>
      </c>
    </row>
    <row r="53" spans="1:3" x14ac:dyDescent="0.3">
      <c r="A53" s="2" t="s">
        <v>59</v>
      </c>
      <c r="B53" s="3">
        <v>42</v>
      </c>
      <c r="C53" s="3" t="str">
        <f t="shared" si="1"/>
        <v/>
      </c>
    </row>
  </sheetData>
  <mergeCells count="2">
    <mergeCell ref="A1:C1"/>
    <mergeCell ref="E3:F3"/>
  </mergeCells>
  <dataValidations count="1">
    <dataValidation type="list" errorTitle="Invalid entry" error="Please choose a state from the dropdown list." promptTitle="State Selector" prompt="Choose a US state to highlight on the chart" sqref="F4" xr:uid="{00000000-0002-0000-0000-000000000000}">
      <formula1>$A$4:$A$53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 States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Uzma Ejaz</cp:lastModifiedBy>
  <cp:revision>1</cp:revision>
  <dcterms:created xsi:type="dcterms:W3CDTF">2026-07-20T22:29:48Z</dcterms:created>
  <dcterms:modified xsi:type="dcterms:W3CDTF">2026-07-21T01:44:47Z</dcterms:modified>
  <dc:language>en-US</dc:language>
</cp:coreProperties>
</file>
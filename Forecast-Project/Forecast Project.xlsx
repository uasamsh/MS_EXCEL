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c424bc2314ddf/Desktop/PROJECTS/MS Excel Data ANalysis Projects/New folder/"/>
    </mc:Choice>
  </mc:AlternateContent>
  <xr:revisionPtr revIDLastSave="1" documentId="8_{896756A7-7A86-4C53-AAB4-E3CD8E5BF316}" xr6:coauthVersionLast="47" xr6:coauthVersionMax="47" xr10:uidLastSave="{49356A3F-9AAD-4578-BD18-DDDE29547ACE}"/>
  <bookViews>
    <workbookView xWindow="-57720" yWindow="735" windowWidth="29040" windowHeight="15720" activeTab="1" xr2:uid="{AB86765C-D20D-4B58-ABC5-DDFD3868076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2" l="1"/>
  <c r="C31" i="2"/>
  <c r="C23" i="2"/>
  <c r="C19" i="2"/>
  <c r="C24" i="2"/>
  <c r="C32" i="2"/>
  <c r="C14" i="2"/>
  <c r="C15" i="2"/>
  <c r="C35" i="2"/>
  <c r="C18" i="2"/>
  <c r="C28" i="2"/>
  <c r="C27" i="2"/>
  <c r="C17" i="2"/>
  <c r="C20" i="2"/>
  <c r="C25" i="2"/>
  <c r="C21" i="2"/>
  <c r="C33" i="2"/>
  <c r="C37" i="2"/>
  <c r="C38" i="2"/>
  <c r="C30" i="2"/>
  <c r="C16" i="2"/>
  <c r="C36" i="2"/>
  <c r="C29" i="2"/>
  <c r="C22" i="2"/>
  <c r="C26" i="2"/>
  <c r="E26" i="2"/>
  <c r="D16" i="2"/>
  <c r="D33" i="2"/>
  <c r="E17" i="2"/>
  <c r="D35" i="2"/>
  <c r="E24" i="2"/>
  <c r="E34" i="2"/>
  <c r="D26" i="2"/>
  <c r="E16" i="2"/>
  <c r="E33" i="2"/>
  <c r="D17" i="2"/>
  <c r="E35" i="2"/>
  <c r="D24" i="2"/>
  <c r="D34" i="2"/>
  <c r="D22" i="2"/>
  <c r="E30" i="2"/>
  <c r="E21" i="2"/>
  <c r="E27" i="2"/>
  <c r="E15" i="2"/>
  <c r="E19" i="2"/>
  <c r="E22" i="2"/>
  <c r="D30" i="2"/>
  <c r="D21" i="2"/>
  <c r="D27" i="2"/>
  <c r="D15" i="2"/>
  <c r="D19" i="2"/>
  <c r="E29" i="2"/>
  <c r="E38" i="2"/>
  <c r="E25" i="2"/>
  <c r="E14" i="2"/>
  <c r="E23" i="2"/>
  <c r="D29" i="2"/>
  <c r="D38" i="2"/>
  <c r="D25" i="2"/>
  <c r="E28" i="2"/>
  <c r="D14" i="2"/>
  <c r="D23" i="2"/>
  <c r="E36" i="2"/>
  <c r="E37" i="2"/>
  <c r="D20" i="2"/>
  <c r="D18" i="2"/>
  <c r="E32" i="2"/>
  <c r="E31" i="2"/>
  <c r="D36" i="2"/>
  <c r="D37" i="2"/>
  <c r="E20" i="2"/>
  <c r="E18" i="2"/>
  <c r="D32" i="2"/>
  <c r="D31" i="2"/>
  <c r="D28" i="2"/>
</calcChain>
</file>

<file path=xl/sharedStrings.xml><?xml version="1.0" encoding="utf-8"?>
<sst xmlns="http://schemas.openxmlformats.org/spreadsheetml/2006/main" count="8" uniqueCount="6">
  <si>
    <t>Month Ref.</t>
  </si>
  <si>
    <t>Date</t>
  </si>
  <si>
    <t>Sales (Thousands $)</t>
  </si>
  <si>
    <t>Forecast(Sales (Thousands $))</t>
  </si>
  <si>
    <t>Lower Confidence Bound(Sales (Thousands $))</t>
  </si>
  <si>
    <t>Upper Confidence Bound(Sales (Thousands $))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</si>
</sst>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6" fontId="0" fillId="0" borderId="0" xfId="0" applyNumberFormat="1"/>
    <xf numFmtId="0" fontId="2" fillId="0" borderId="1" xfId="0" applyFont="1" applyBorder="1" applyAlignment="1">
      <alignment horizontal="left" vertical="center" wrapText="1" indent="1" readingOrder="2"/>
    </xf>
    <xf numFmtId="0" fontId="1" fillId="0" borderId="1" xfId="0" applyFont="1" applyBorder="1" applyAlignment="1">
      <alignment horizontal="left" vertical="center" wrapText="1" indent="1" readingOrder="2"/>
    </xf>
    <xf numFmtId="14" fontId="1" fillId="0" borderId="1" xfId="0" applyNumberFormat="1" applyFont="1" applyBorder="1" applyAlignment="1">
      <alignment horizontal="left" vertical="center" wrapText="1" indent="1" readingOrder="2"/>
    </xf>
    <xf numFmtId="6" fontId="1" fillId="0" borderId="1" xfId="0" applyNumberFormat="1" applyFont="1" applyBorder="1" applyAlignment="1">
      <alignment horizontal="left" vertical="center" wrapText="1" indent="1" readingOrder="2"/>
    </xf>
  </cellXfs>
  <cellStyles count="1">
    <cellStyle name="Normal" xfId="0" builtinId="0"/>
  </cellStyles>
  <dxfs count="5"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10427704739735E-2"/>
          <c:y val="1.9051403694205236E-2"/>
          <c:w val="0.90473243417279781"/>
          <c:h val="0.63616530243813174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 (Thousands 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Sheet2!$B$2:$B$38</c:f>
              <c:numCache>
                <c:formatCode>"$"#,##0_);[Red]\("$"#,##0\)</c:formatCode>
                <c:ptCount val="37"/>
                <c:pt idx="0">
                  <c:v>18500</c:v>
                </c:pt>
                <c:pt idx="1">
                  <c:v>17900</c:v>
                </c:pt>
                <c:pt idx="2">
                  <c:v>19200</c:v>
                </c:pt>
                <c:pt idx="3">
                  <c:v>19800</c:v>
                </c:pt>
                <c:pt idx="4">
                  <c:v>20500</c:v>
                </c:pt>
                <c:pt idx="5">
                  <c:v>21000</c:v>
                </c:pt>
                <c:pt idx="6">
                  <c:v>20800</c:v>
                </c:pt>
                <c:pt idx="7">
                  <c:v>20400</c:v>
                </c:pt>
                <c:pt idx="8">
                  <c:v>21500</c:v>
                </c:pt>
                <c:pt idx="9">
                  <c:v>22000</c:v>
                </c:pt>
                <c:pt idx="10">
                  <c:v>23500</c:v>
                </c:pt>
                <c:pt idx="11">
                  <c:v>25000</c:v>
                </c:pt>
                <c:pt idx="12">
                  <c:v>19000</c:v>
                </c:pt>
                <c:pt idx="13">
                  <c:v>18500</c:v>
                </c:pt>
                <c:pt idx="14">
                  <c:v>20000</c:v>
                </c:pt>
                <c:pt idx="15">
                  <c:v>20500</c:v>
                </c:pt>
                <c:pt idx="16">
                  <c:v>21200</c:v>
                </c:pt>
                <c:pt idx="17">
                  <c:v>21800</c:v>
                </c:pt>
                <c:pt idx="18">
                  <c:v>21500</c:v>
                </c:pt>
                <c:pt idx="19">
                  <c:v>21000</c:v>
                </c:pt>
                <c:pt idx="20">
                  <c:v>22500</c:v>
                </c:pt>
                <c:pt idx="21">
                  <c:v>23200</c:v>
                </c:pt>
                <c:pt idx="22">
                  <c:v>24800</c:v>
                </c:pt>
                <c:pt idx="23">
                  <c:v>26500</c:v>
                </c:pt>
                <c:pt idx="24">
                  <c:v>20500</c:v>
                </c:pt>
                <c:pt idx="25">
                  <c:v>19800</c:v>
                </c:pt>
                <c:pt idx="26">
                  <c:v>21500</c:v>
                </c:pt>
                <c:pt idx="27">
                  <c:v>22000</c:v>
                </c:pt>
                <c:pt idx="28">
                  <c:v>22800</c:v>
                </c:pt>
                <c:pt idx="29">
                  <c:v>23500</c:v>
                </c:pt>
                <c:pt idx="30">
                  <c:v>23000</c:v>
                </c:pt>
                <c:pt idx="31">
                  <c:v>22500</c:v>
                </c:pt>
                <c:pt idx="32">
                  <c:v>24000</c:v>
                </c:pt>
                <c:pt idx="33">
                  <c:v>25000</c:v>
                </c:pt>
                <c:pt idx="34">
                  <c:v>27000</c:v>
                </c:pt>
                <c:pt idx="35">
                  <c:v>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C-4AD9-9E11-8D7F5A4A145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Forecast(Sales (Thousands $))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Sheet2!$A$2:$A$38</c:f>
              <c:numCache>
                <c:formatCode>m/d/yyyy</c:formatCode>
                <c:ptCount val="37"/>
                <c:pt idx="0">
                  <c:v>44956</c:v>
                </c:pt>
                <c:pt idx="1">
                  <c:v>44985</c:v>
                </c:pt>
                <c:pt idx="2">
                  <c:v>45015</c:v>
                </c:pt>
                <c:pt idx="3">
                  <c:v>45046</c:v>
                </c:pt>
                <c:pt idx="4">
                  <c:v>45076</c:v>
                </c:pt>
                <c:pt idx="5">
                  <c:v>45107</c:v>
                </c:pt>
                <c:pt idx="6">
                  <c:v>45137</c:v>
                </c:pt>
                <c:pt idx="7">
                  <c:v>45168</c:v>
                </c:pt>
                <c:pt idx="8">
                  <c:v>45199</c:v>
                </c:pt>
                <c:pt idx="9">
                  <c:v>45229</c:v>
                </c:pt>
                <c:pt idx="10">
                  <c:v>45260</c:v>
                </c:pt>
                <c:pt idx="11">
                  <c:v>45290</c:v>
                </c:pt>
                <c:pt idx="12">
                  <c:v>45321</c:v>
                </c:pt>
                <c:pt idx="13">
                  <c:v>45350</c:v>
                </c:pt>
                <c:pt idx="14">
                  <c:v>45381</c:v>
                </c:pt>
                <c:pt idx="15">
                  <c:v>45412</c:v>
                </c:pt>
                <c:pt idx="16">
                  <c:v>45442</c:v>
                </c:pt>
                <c:pt idx="17">
                  <c:v>45473</c:v>
                </c:pt>
                <c:pt idx="18">
                  <c:v>45503</c:v>
                </c:pt>
                <c:pt idx="19">
                  <c:v>45534</c:v>
                </c:pt>
                <c:pt idx="20">
                  <c:v>45565</c:v>
                </c:pt>
                <c:pt idx="21">
                  <c:v>45595</c:v>
                </c:pt>
                <c:pt idx="22">
                  <c:v>45626</c:v>
                </c:pt>
                <c:pt idx="23">
                  <c:v>45656</c:v>
                </c:pt>
                <c:pt idx="24">
                  <c:v>45687</c:v>
                </c:pt>
                <c:pt idx="25">
                  <c:v>45716</c:v>
                </c:pt>
                <c:pt idx="26">
                  <c:v>45746</c:v>
                </c:pt>
                <c:pt idx="27">
                  <c:v>45777</c:v>
                </c:pt>
                <c:pt idx="28">
                  <c:v>45807</c:v>
                </c:pt>
                <c:pt idx="29">
                  <c:v>45838</c:v>
                </c:pt>
                <c:pt idx="30">
                  <c:v>45868</c:v>
                </c:pt>
                <c:pt idx="31">
                  <c:v>45899</c:v>
                </c:pt>
                <c:pt idx="32">
                  <c:v>45930</c:v>
                </c:pt>
                <c:pt idx="33">
                  <c:v>45960</c:v>
                </c:pt>
                <c:pt idx="34">
                  <c:v>45991</c:v>
                </c:pt>
                <c:pt idx="35">
                  <c:v>46021</c:v>
                </c:pt>
                <c:pt idx="36">
                  <c:v>46022</c:v>
                </c:pt>
              </c:numCache>
            </c:numRef>
          </c:cat>
          <c:val>
            <c:numRef>
              <c:f>Sheet2!$C$2:$C$38</c:f>
              <c:numCache>
                <c:formatCode>General</c:formatCode>
                <c:ptCount val="37"/>
                <c:pt idx="11" formatCode="&quot;$&quot;#,##0_);[Red]\(&quot;$&quot;#,##0\)">
                  <c:v>25000</c:v>
                </c:pt>
                <c:pt idx="12" formatCode="&quot;$&quot;#,##0_);[Red]\(&quot;$&quot;#,##0\)">
                  <c:v>24624.188552443993</c:v>
                </c:pt>
                <c:pt idx="13" formatCode="&quot;$&quot;#,##0_);[Red]\(&quot;$&quot;#,##0\)">
                  <c:v>24490.529710192684</c:v>
                </c:pt>
                <c:pt idx="14" formatCode="&quot;$&quot;#,##0_);[Red]\(&quot;$&quot;#,##0\)">
                  <c:v>25099.168262842628</c:v>
                </c:pt>
                <c:pt idx="15" formatCode="&quot;$&quot;#,##0_);[Red]\(&quot;$&quot;#,##0\)">
                  <c:v>26018.247133902307</c:v>
                </c:pt>
                <c:pt idx="16" formatCode="&quot;$&quot;#,##0_);[Red]\(&quot;$&quot;#,##0\)">
                  <c:v>26698.847338241383</c:v>
                </c:pt>
                <c:pt idx="17" formatCode="&quot;$&quot;#,##0_);[Red]\(&quot;$&quot;#,##0\)">
                  <c:v>26555.970644800327</c:v>
                </c:pt>
                <c:pt idx="18" formatCode="&quot;$&quot;#,##0_);[Red]\(&quot;$&quot;#,##0\)">
                  <c:v>27173.827048640018</c:v>
                </c:pt>
                <c:pt idx="19" formatCode="&quot;$&quot;#,##0_);[Red]\(&quot;$&quot;#,##0\)">
                  <c:v>28092.9059196997</c:v>
                </c:pt>
                <c:pt idx="20" formatCode="&quot;$&quot;#,##0_);[Red]\(&quot;$&quot;#,##0\)">
                  <c:v>28773.506124038777</c:v>
                </c:pt>
                <c:pt idx="21" formatCode="&quot;$&quot;#,##0_);[Red]\(&quot;$&quot;#,##0\)">
                  <c:v>28630.629430597721</c:v>
                </c:pt>
                <c:pt idx="22" formatCode="&quot;$&quot;#,##0_);[Red]\(&quot;$&quot;#,##0\)">
                  <c:v>29248.485834437412</c:v>
                </c:pt>
                <c:pt idx="23" formatCode="&quot;$&quot;#,##0_);[Red]\(&quot;$&quot;#,##0\)">
                  <c:v>30167.564705497094</c:v>
                </c:pt>
                <c:pt idx="24" formatCode="&quot;$&quot;#,##0_);[Red]\(&quot;$&quot;#,##0\)">
                  <c:v>30848.16490983617</c:v>
                </c:pt>
                <c:pt idx="25" formatCode="&quot;$&quot;#,##0_);[Red]\(&quot;$&quot;#,##0\)">
                  <c:v>30714.506067584858</c:v>
                </c:pt>
                <c:pt idx="26" formatCode="&quot;$&quot;#,##0_);[Red]\(&quot;$&quot;#,##0\)">
                  <c:v>31323.144620234802</c:v>
                </c:pt>
                <c:pt idx="27" formatCode="&quot;$&quot;#,##0_);[Red]\(&quot;$&quot;#,##0\)">
                  <c:v>32242.223491294484</c:v>
                </c:pt>
                <c:pt idx="28" formatCode="&quot;$&quot;#,##0_);[Red]\(&quot;$&quot;#,##0\)">
                  <c:v>32922.82369563356</c:v>
                </c:pt>
                <c:pt idx="29" formatCode="&quot;$&quot;#,##0_);[Red]\(&quot;$&quot;#,##0\)">
                  <c:v>32779.947002192508</c:v>
                </c:pt>
                <c:pt idx="30" formatCode="&quot;$&quot;#,##0_);[Red]\(&quot;$&quot;#,##0\)">
                  <c:v>33397.803406032195</c:v>
                </c:pt>
                <c:pt idx="31" formatCode="&quot;$&quot;#,##0_);[Red]\(&quot;$&quot;#,##0\)">
                  <c:v>34316.882277091878</c:v>
                </c:pt>
                <c:pt idx="32" formatCode="&quot;$&quot;#,##0_);[Red]\(&quot;$&quot;#,##0\)">
                  <c:v>34997.482481430954</c:v>
                </c:pt>
                <c:pt idx="33" formatCode="&quot;$&quot;#,##0_);[Red]\(&quot;$&quot;#,##0\)">
                  <c:v>34854.605787989894</c:v>
                </c:pt>
                <c:pt idx="34" formatCode="&quot;$&quot;#,##0_);[Red]\(&quot;$&quot;#,##0\)">
                  <c:v>35472.462191829589</c:v>
                </c:pt>
                <c:pt idx="35" formatCode="&quot;$&quot;#,##0_);[Red]\(&quot;$&quot;#,##0\)">
                  <c:v>36391.541062889271</c:v>
                </c:pt>
                <c:pt idx="36" formatCode="&quot;$&quot;#,##0_);[Red]\(&quot;$&quot;#,##0\)">
                  <c:v>36413.495908190533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AC-4AD9-9E11-8D7F5A4A145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Bound(Sales (Thousands $))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Sheet2!$A$2:$A$38</c:f>
              <c:numCache>
                <c:formatCode>m/d/yyyy</c:formatCode>
                <c:ptCount val="37"/>
                <c:pt idx="0">
                  <c:v>44956</c:v>
                </c:pt>
                <c:pt idx="1">
                  <c:v>44985</c:v>
                </c:pt>
                <c:pt idx="2">
                  <c:v>45015</c:v>
                </c:pt>
                <c:pt idx="3">
                  <c:v>45046</c:v>
                </c:pt>
                <c:pt idx="4">
                  <c:v>45076</c:v>
                </c:pt>
                <c:pt idx="5">
                  <c:v>45107</c:v>
                </c:pt>
                <c:pt idx="6">
                  <c:v>45137</c:v>
                </c:pt>
                <c:pt idx="7">
                  <c:v>45168</c:v>
                </c:pt>
                <c:pt idx="8">
                  <c:v>45199</c:v>
                </c:pt>
                <c:pt idx="9">
                  <c:v>45229</c:v>
                </c:pt>
                <c:pt idx="10">
                  <c:v>45260</c:v>
                </c:pt>
                <c:pt idx="11">
                  <c:v>45290</c:v>
                </c:pt>
                <c:pt idx="12">
                  <c:v>45321</c:v>
                </c:pt>
                <c:pt idx="13">
                  <c:v>45350</c:v>
                </c:pt>
                <c:pt idx="14">
                  <c:v>45381</c:v>
                </c:pt>
                <c:pt idx="15">
                  <c:v>45412</c:v>
                </c:pt>
                <c:pt idx="16">
                  <c:v>45442</c:v>
                </c:pt>
                <c:pt idx="17">
                  <c:v>45473</c:v>
                </c:pt>
                <c:pt idx="18">
                  <c:v>45503</c:v>
                </c:pt>
                <c:pt idx="19">
                  <c:v>45534</c:v>
                </c:pt>
                <c:pt idx="20">
                  <c:v>45565</c:v>
                </c:pt>
                <c:pt idx="21">
                  <c:v>45595</c:v>
                </c:pt>
                <c:pt idx="22">
                  <c:v>45626</c:v>
                </c:pt>
                <c:pt idx="23">
                  <c:v>45656</c:v>
                </c:pt>
                <c:pt idx="24">
                  <c:v>45687</c:v>
                </c:pt>
                <c:pt idx="25">
                  <c:v>45716</c:v>
                </c:pt>
                <c:pt idx="26">
                  <c:v>45746</c:v>
                </c:pt>
                <c:pt idx="27">
                  <c:v>45777</c:v>
                </c:pt>
                <c:pt idx="28">
                  <c:v>45807</c:v>
                </c:pt>
                <c:pt idx="29">
                  <c:v>45838</c:v>
                </c:pt>
                <c:pt idx="30">
                  <c:v>45868</c:v>
                </c:pt>
                <c:pt idx="31">
                  <c:v>45899</c:v>
                </c:pt>
                <c:pt idx="32">
                  <c:v>45930</c:v>
                </c:pt>
                <c:pt idx="33">
                  <c:v>45960</c:v>
                </c:pt>
                <c:pt idx="34">
                  <c:v>45991</c:v>
                </c:pt>
                <c:pt idx="35">
                  <c:v>46021</c:v>
                </c:pt>
                <c:pt idx="36">
                  <c:v>46022</c:v>
                </c:pt>
              </c:numCache>
            </c:numRef>
          </c:cat>
          <c:val>
            <c:numRef>
              <c:f>Sheet2!$D$2:$D$38</c:f>
              <c:numCache>
                <c:formatCode>General</c:formatCode>
                <c:ptCount val="37"/>
                <c:pt idx="11" formatCode="&quot;$&quot;#,##0_);[Red]\(&quot;$&quot;#,##0\)">
                  <c:v>25000</c:v>
                </c:pt>
                <c:pt idx="12" formatCode="&quot;$&quot;#,##0_);[Red]\(&quot;$&quot;#,##0\)">
                  <c:v>23220.001049132738</c:v>
                </c:pt>
                <c:pt idx="13" formatCode="&quot;$&quot;#,##0_);[Red]\(&quot;$&quot;#,##0\)">
                  <c:v>23075.788383014453</c:v>
                </c:pt>
                <c:pt idx="14" formatCode="&quot;$&quot;#,##0_);[Red]\(&quot;$&quot;#,##0\)">
                  <c:v>23672.33617398165</c:v>
                </c:pt>
                <c:pt idx="15" formatCode="&quot;$&quot;#,##0_);[Red]\(&quot;$&quot;#,##0\)">
                  <c:v>24579.962886096724</c:v>
                </c:pt>
                <c:pt idx="16" formatCode="&quot;$&quot;#,##0_);[Red]\(&quot;$&quot;#,##0\)">
                  <c:v>25248.847803313503</c:v>
                </c:pt>
                <c:pt idx="17" formatCode="&quot;$&quot;#,##0_);[Red]\(&quot;$&quot;#,##0\)">
                  <c:v>25094.349720929684</c:v>
                </c:pt>
                <c:pt idx="18" formatCode="&quot;$&quot;#,##0_);[Red]\(&quot;$&quot;#,##0\)">
                  <c:v>25700.500415747276</c:v>
                </c:pt>
                <c:pt idx="19" formatCode="&quot;$&quot;#,##0_);[Red]\(&quot;$&quot;#,##0\)">
                  <c:v>26607.789923873133</c:v>
                </c:pt>
                <c:pt idx="20" formatCode="&quot;$&quot;#,##0_);[Red]\(&quot;$&quot;#,##0\)">
                  <c:v>27276.340625861427</c:v>
                </c:pt>
                <c:pt idx="21" formatCode="&quot;$&quot;#,##0_);[Red]\(&quot;$&quot;#,##0\)">
                  <c:v>27121.510635802115</c:v>
                </c:pt>
                <c:pt idx="22" formatCode="&quot;$&quot;#,##0_);[Red]\(&quot;$&quot;#,##0\)">
                  <c:v>27727.332033236631</c:v>
                </c:pt>
                <c:pt idx="23" formatCode="&quot;$&quot;#,##0_);[Red]\(&quot;$&quot;#,##0\)">
                  <c:v>28634.294826211495</c:v>
                </c:pt>
                <c:pt idx="24" formatCode="&quot;$&quot;#,##0_);[Red]\(&quot;$&quot;#,##0\)">
                  <c:v>29302.521820236925</c:v>
                </c:pt>
                <c:pt idx="25" formatCode="&quot;$&quot;#,##0_);[Red]\(&quot;$&quot;#,##0\)">
                  <c:v>29157.377046198591</c:v>
                </c:pt>
                <c:pt idx="26" formatCode="&quot;$&quot;#,##0_);[Red]\(&quot;$&quot;#,##0\)">
                  <c:v>29752.872429817278</c:v>
                </c:pt>
                <c:pt idx="27" formatCode="&quot;$&quot;#,##0_);[Red]\(&quot;$&quot;#,##0\)">
                  <c:v>30659.518539155593</c:v>
                </c:pt>
                <c:pt idx="28" formatCode="&quot;$&quot;#,##0_);[Red]\(&quot;$&quot;#,##0\)">
                  <c:v>31327.431853854076</c:v>
                </c:pt>
                <c:pt idx="29" formatCode="&quot;$&quot;#,##0_);[Red]\(&quot;$&quot;#,##0\)">
                  <c:v>31171.968366728681</c:v>
                </c:pt>
                <c:pt idx="30" formatCode="&quot;$&quot;#,##0_);[Red]\(&quot;$&quot;#,##0\)">
                  <c:v>31777.161142758174</c:v>
                </c:pt>
                <c:pt idx="31" formatCode="&quot;$&quot;#,##0_);[Red]\(&quot;$&quot;#,##0\)">
                  <c:v>32683.500131815668</c:v>
                </c:pt>
                <c:pt idx="32" formatCode="&quot;$&quot;#,##0_);[Red]\(&quot;$&quot;#,##0\)">
                  <c:v>33351.109310746295</c:v>
                </c:pt>
                <c:pt idx="33" formatCode="&quot;$&quot;#,##0_);[Red]\(&quot;$&quot;#,##0\)">
                  <c:v>33195.343300680128</c:v>
                </c:pt>
                <c:pt idx="34" formatCode="&quot;$&quot;#,##0_);[Red]\(&quot;$&quot;#,##0\)">
                  <c:v>33800.235816458378</c:v>
                </c:pt>
                <c:pt idx="35" formatCode="&quot;$&quot;#,##0_);[Red]\(&quot;$&quot;#,##0\)">
                  <c:v>34706.276778951404</c:v>
                </c:pt>
                <c:pt idx="36" formatCode="&quot;$&quot;#,##0_);[Red]\(&quot;$&quot;#,##0\)">
                  <c:v>34727.80140586802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AC-4AD9-9E11-8D7F5A4A1452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Bound(Sales (Thousands $))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Sheet2!$A$2:$A$38</c:f>
              <c:numCache>
                <c:formatCode>m/d/yyyy</c:formatCode>
                <c:ptCount val="37"/>
                <c:pt idx="0">
                  <c:v>44956</c:v>
                </c:pt>
                <c:pt idx="1">
                  <c:v>44985</c:v>
                </c:pt>
                <c:pt idx="2">
                  <c:v>45015</c:v>
                </c:pt>
                <c:pt idx="3">
                  <c:v>45046</c:v>
                </c:pt>
                <c:pt idx="4">
                  <c:v>45076</c:v>
                </c:pt>
                <c:pt idx="5">
                  <c:v>45107</c:v>
                </c:pt>
                <c:pt idx="6">
                  <c:v>45137</c:v>
                </c:pt>
                <c:pt idx="7">
                  <c:v>45168</c:v>
                </c:pt>
                <c:pt idx="8">
                  <c:v>45199</c:v>
                </c:pt>
                <c:pt idx="9">
                  <c:v>45229</c:v>
                </c:pt>
                <c:pt idx="10">
                  <c:v>45260</c:v>
                </c:pt>
                <c:pt idx="11">
                  <c:v>45290</c:v>
                </c:pt>
                <c:pt idx="12">
                  <c:v>45321</c:v>
                </c:pt>
                <c:pt idx="13">
                  <c:v>45350</c:v>
                </c:pt>
                <c:pt idx="14">
                  <c:v>45381</c:v>
                </c:pt>
                <c:pt idx="15">
                  <c:v>45412</c:v>
                </c:pt>
                <c:pt idx="16">
                  <c:v>45442</c:v>
                </c:pt>
                <c:pt idx="17">
                  <c:v>45473</c:v>
                </c:pt>
                <c:pt idx="18">
                  <c:v>45503</c:v>
                </c:pt>
                <c:pt idx="19">
                  <c:v>45534</c:v>
                </c:pt>
                <c:pt idx="20">
                  <c:v>45565</c:v>
                </c:pt>
                <c:pt idx="21">
                  <c:v>45595</c:v>
                </c:pt>
                <c:pt idx="22">
                  <c:v>45626</c:v>
                </c:pt>
                <c:pt idx="23">
                  <c:v>45656</c:v>
                </c:pt>
                <c:pt idx="24">
                  <c:v>45687</c:v>
                </c:pt>
                <c:pt idx="25">
                  <c:v>45716</c:v>
                </c:pt>
                <c:pt idx="26">
                  <c:v>45746</c:v>
                </c:pt>
                <c:pt idx="27">
                  <c:v>45777</c:v>
                </c:pt>
                <c:pt idx="28">
                  <c:v>45807</c:v>
                </c:pt>
                <c:pt idx="29">
                  <c:v>45838</c:v>
                </c:pt>
                <c:pt idx="30">
                  <c:v>45868</c:v>
                </c:pt>
                <c:pt idx="31">
                  <c:v>45899</c:v>
                </c:pt>
                <c:pt idx="32">
                  <c:v>45930</c:v>
                </c:pt>
                <c:pt idx="33">
                  <c:v>45960</c:v>
                </c:pt>
                <c:pt idx="34">
                  <c:v>45991</c:v>
                </c:pt>
                <c:pt idx="35">
                  <c:v>46021</c:v>
                </c:pt>
                <c:pt idx="36">
                  <c:v>46022</c:v>
                </c:pt>
              </c:numCache>
            </c:numRef>
          </c:cat>
          <c:val>
            <c:numRef>
              <c:f>Sheet2!$E$2:$E$38</c:f>
              <c:numCache>
                <c:formatCode>General</c:formatCode>
                <c:ptCount val="37"/>
                <c:pt idx="11" formatCode="&quot;$&quot;#,##0_);[Red]\(&quot;$&quot;#,##0\)">
                  <c:v>25000</c:v>
                </c:pt>
                <c:pt idx="12" formatCode="&quot;$&quot;#,##0_);[Red]\(&quot;$&quot;#,##0\)">
                  <c:v>26028.376055755249</c:v>
                </c:pt>
                <c:pt idx="13" formatCode="&quot;$&quot;#,##0_);[Red]\(&quot;$&quot;#,##0\)">
                  <c:v>25905.271037370916</c:v>
                </c:pt>
                <c:pt idx="14" formatCode="&quot;$&quot;#,##0_);[Red]\(&quot;$&quot;#,##0\)">
                  <c:v>26526.000351703606</c:v>
                </c:pt>
                <c:pt idx="15" formatCode="&quot;$&quot;#,##0_);[Red]\(&quot;$&quot;#,##0\)">
                  <c:v>27456.53138170789</c:v>
                </c:pt>
                <c:pt idx="16" formatCode="&quot;$&quot;#,##0_);[Red]\(&quot;$&quot;#,##0\)">
                  <c:v>28148.846873169263</c:v>
                </c:pt>
                <c:pt idx="17" formatCode="&quot;$&quot;#,##0_);[Red]\(&quot;$&quot;#,##0\)">
                  <c:v>28017.59156867097</c:v>
                </c:pt>
                <c:pt idx="18" formatCode="&quot;$&quot;#,##0_);[Red]\(&quot;$&quot;#,##0\)">
                  <c:v>28647.15368153276</c:v>
                </c:pt>
                <c:pt idx="19" formatCode="&quot;$&quot;#,##0_);[Red]\(&quot;$&quot;#,##0\)">
                  <c:v>29578.021915526268</c:v>
                </c:pt>
                <c:pt idx="20" formatCode="&quot;$&quot;#,##0_);[Red]\(&quot;$&quot;#,##0\)">
                  <c:v>30270.671622216127</c:v>
                </c:pt>
                <c:pt idx="21" formatCode="&quot;$&quot;#,##0_);[Red]\(&quot;$&quot;#,##0\)">
                  <c:v>30139.748225393327</c:v>
                </c:pt>
                <c:pt idx="22" formatCode="&quot;$&quot;#,##0_);[Red]\(&quot;$&quot;#,##0\)">
                  <c:v>30769.639635638192</c:v>
                </c:pt>
                <c:pt idx="23" formatCode="&quot;$&quot;#,##0_);[Red]\(&quot;$&quot;#,##0\)">
                  <c:v>31700.834584782693</c:v>
                </c:pt>
                <c:pt idx="24" formatCode="&quot;$&quot;#,##0_);[Red]\(&quot;$&quot;#,##0\)">
                  <c:v>32393.807999435416</c:v>
                </c:pt>
                <c:pt idx="25" formatCode="&quot;$&quot;#,##0_);[Red]\(&quot;$&quot;#,##0\)">
                  <c:v>32271.635088971125</c:v>
                </c:pt>
                <c:pt idx="26" formatCode="&quot;$&quot;#,##0_);[Red]\(&quot;$&quot;#,##0\)">
                  <c:v>32893.416810652328</c:v>
                </c:pt>
                <c:pt idx="27" formatCode="&quot;$&quot;#,##0_);[Red]\(&quot;$&quot;#,##0\)">
                  <c:v>33824.928443433375</c:v>
                </c:pt>
                <c:pt idx="28" formatCode="&quot;$&quot;#,##0_);[Red]\(&quot;$&quot;#,##0\)">
                  <c:v>34518.215537413045</c:v>
                </c:pt>
                <c:pt idx="29" formatCode="&quot;$&quot;#,##0_);[Red]\(&quot;$&quot;#,##0\)">
                  <c:v>34387.925637656335</c:v>
                </c:pt>
                <c:pt idx="30" formatCode="&quot;$&quot;#,##0_);[Red]\(&quot;$&quot;#,##0\)">
                  <c:v>35018.445669306217</c:v>
                </c:pt>
                <c:pt idx="31" formatCode="&quot;$&quot;#,##0_);[Red]\(&quot;$&quot;#,##0\)">
                  <c:v>35950.264422368091</c:v>
                </c:pt>
                <c:pt idx="32" formatCode="&quot;$&quot;#,##0_);[Red]\(&quot;$&quot;#,##0\)">
                  <c:v>36643.855652115613</c:v>
                </c:pt>
                <c:pt idx="33" formatCode="&quot;$&quot;#,##0_);[Red]\(&quot;$&quot;#,##0\)">
                  <c:v>36513.868275299661</c:v>
                </c:pt>
                <c:pt idx="34" formatCode="&quot;$&quot;#,##0_);[Red]\(&quot;$&quot;#,##0\)">
                  <c:v>37144.688567200799</c:v>
                </c:pt>
                <c:pt idx="35" formatCode="&quot;$&quot;#,##0_);[Red]\(&quot;$&quot;#,##0\)">
                  <c:v>38076.805346827139</c:v>
                </c:pt>
                <c:pt idx="36" formatCode="&quot;$&quot;#,##0_);[Red]\(&quot;$&quot;#,##0\)">
                  <c:v>38099.190410513045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AC-4AD9-9E11-8D7F5A4A1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430159"/>
        <c:axId val="1450430639"/>
      </c:lineChart>
      <c:catAx>
        <c:axId val="14504301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30639"/>
        <c:crosses val="autoZero"/>
        <c:auto val="1"/>
        <c:lblAlgn val="ctr"/>
        <c:lblOffset val="100"/>
        <c:noMultiLvlLbl val="0"/>
      </c:catAx>
      <c:valAx>
        <c:axId val="14504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3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 (Thousands 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Sheet1!$B$2:$B$37</c:f>
              <c:numCache>
                <c:formatCode>m/d/yyyy</c:formatCode>
                <c:ptCount val="36"/>
                <c:pt idx="0">
                  <c:v>44956</c:v>
                </c:pt>
                <c:pt idx="1">
                  <c:v>44985</c:v>
                </c:pt>
                <c:pt idx="2">
                  <c:v>45015</c:v>
                </c:pt>
                <c:pt idx="3">
                  <c:v>45046</c:v>
                </c:pt>
                <c:pt idx="4">
                  <c:v>45076</c:v>
                </c:pt>
                <c:pt idx="5">
                  <c:v>45107</c:v>
                </c:pt>
                <c:pt idx="6">
                  <c:v>45137</c:v>
                </c:pt>
                <c:pt idx="7">
                  <c:v>45168</c:v>
                </c:pt>
                <c:pt idx="8">
                  <c:v>45199</c:v>
                </c:pt>
                <c:pt idx="9">
                  <c:v>45229</c:v>
                </c:pt>
                <c:pt idx="10">
                  <c:v>45260</c:v>
                </c:pt>
                <c:pt idx="11">
                  <c:v>45290</c:v>
                </c:pt>
                <c:pt idx="12">
                  <c:v>45321</c:v>
                </c:pt>
                <c:pt idx="13">
                  <c:v>45350</c:v>
                </c:pt>
                <c:pt idx="14">
                  <c:v>45381</c:v>
                </c:pt>
                <c:pt idx="15">
                  <c:v>45412</c:v>
                </c:pt>
                <c:pt idx="16">
                  <c:v>45442</c:v>
                </c:pt>
                <c:pt idx="17">
                  <c:v>45473</c:v>
                </c:pt>
                <c:pt idx="18">
                  <c:v>45503</c:v>
                </c:pt>
                <c:pt idx="19">
                  <c:v>45534</c:v>
                </c:pt>
                <c:pt idx="20">
                  <c:v>45565</c:v>
                </c:pt>
                <c:pt idx="21">
                  <c:v>45595</c:v>
                </c:pt>
                <c:pt idx="22">
                  <c:v>45626</c:v>
                </c:pt>
                <c:pt idx="23">
                  <c:v>45656</c:v>
                </c:pt>
                <c:pt idx="24">
                  <c:v>45687</c:v>
                </c:pt>
                <c:pt idx="25">
                  <c:v>45716</c:v>
                </c:pt>
                <c:pt idx="26">
                  <c:v>45746</c:v>
                </c:pt>
                <c:pt idx="27">
                  <c:v>45777</c:v>
                </c:pt>
                <c:pt idx="28">
                  <c:v>45807</c:v>
                </c:pt>
                <c:pt idx="29">
                  <c:v>45838</c:v>
                </c:pt>
                <c:pt idx="30">
                  <c:v>45868</c:v>
                </c:pt>
                <c:pt idx="31">
                  <c:v>45899</c:v>
                </c:pt>
                <c:pt idx="32">
                  <c:v>45930</c:v>
                </c:pt>
                <c:pt idx="33">
                  <c:v>45960</c:v>
                </c:pt>
                <c:pt idx="34">
                  <c:v>45991</c:v>
                </c:pt>
                <c:pt idx="35">
                  <c:v>46021</c:v>
                </c:pt>
              </c:numCache>
            </c:numRef>
          </c:cat>
          <c:val>
            <c:numRef>
              <c:f>Sheet1!$C$2:$C$37</c:f>
              <c:numCache>
                <c:formatCode>"$"#,##0_);[Red]\("$"#,##0\)</c:formatCode>
                <c:ptCount val="36"/>
                <c:pt idx="0">
                  <c:v>18500</c:v>
                </c:pt>
                <c:pt idx="1">
                  <c:v>17900</c:v>
                </c:pt>
                <c:pt idx="2">
                  <c:v>19200</c:v>
                </c:pt>
                <c:pt idx="3">
                  <c:v>19800</c:v>
                </c:pt>
                <c:pt idx="4">
                  <c:v>20500</c:v>
                </c:pt>
                <c:pt idx="5">
                  <c:v>21000</c:v>
                </c:pt>
                <c:pt idx="6">
                  <c:v>20800</c:v>
                </c:pt>
                <c:pt idx="7">
                  <c:v>20400</c:v>
                </c:pt>
                <c:pt idx="8">
                  <c:v>21500</c:v>
                </c:pt>
                <c:pt idx="9">
                  <c:v>22000</c:v>
                </c:pt>
                <c:pt idx="10">
                  <c:v>23500</c:v>
                </c:pt>
                <c:pt idx="11">
                  <c:v>25000</c:v>
                </c:pt>
                <c:pt idx="12">
                  <c:v>19000</c:v>
                </c:pt>
                <c:pt idx="13">
                  <c:v>18500</c:v>
                </c:pt>
                <c:pt idx="14">
                  <c:v>20000</c:v>
                </c:pt>
                <c:pt idx="15">
                  <c:v>20500</c:v>
                </c:pt>
                <c:pt idx="16">
                  <c:v>21200</c:v>
                </c:pt>
                <c:pt idx="17">
                  <c:v>21800</c:v>
                </c:pt>
                <c:pt idx="18">
                  <c:v>21500</c:v>
                </c:pt>
                <c:pt idx="19">
                  <c:v>21000</c:v>
                </c:pt>
                <c:pt idx="20">
                  <c:v>22500</c:v>
                </c:pt>
                <c:pt idx="21">
                  <c:v>23200</c:v>
                </c:pt>
                <c:pt idx="22">
                  <c:v>24800</c:v>
                </c:pt>
                <c:pt idx="23">
                  <c:v>26500</c:v>
                </c:pt>
                <c:pt idx="24">
                  <c:v>20500</c:v>
                </c:pt>
                <c:pt idx="25">
                  <c:v>19800</c:v>
                </c:pt>
                <c:pt idx="26">
                  <c:v>21500</c:v>
                </c:pt>
                <c:pt idx="27">
                  <c:v>22000</c:v>
                </c:pt>
                <c:pt idx="28">
                  <c:v>22800</c:v>
                </c:pt>
                <c:pt idx="29">
                  <c:v>23500</c:v>
                </c:pt>
                <c:pt idx="30">
                  <c:v>23000</c:v>
                </c:pt>
                <c:pt idx="31">
                  <c:v>22500</c:v>
                </c:pt>
                <c:pt idx="32">
                  <c:v>24000</c:v>
                </c:pt>
                <c:pt idx="33">
                  <c:v>25000</c:v>
                </c:pt>
                <c:pt idx="34">
                  <c:v>27000</c:v>
                </c:pt>
                <c:pt idx="35">
                  <c:v>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BA-4F93-AEA7-2658AC661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678447"/>
        <c:axId val="1524677487"/>
      </c:lineChart>
      <c:dateAx>
        <c:axId val="1524678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77487"/>
        <c:crosses val="autoZero"/>
        <c:auto val="1"/>
        <c:lblOffset val="100"/>
        <c:baseTimeUnit val="months"/>
      </c:dateAx>
      <c:valAx>
        <c:axId val="152467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7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2895600</xdr:colOff>
      <xdr:row>12</xdr:row>
      <xdr:rowOff>9525</xdr:rowOff>
    </xdr:from>
    <xdr:to>
      <xdr:col>17</xdr:col>
      <xdr:colOff>38100</xdr:colOff>
      <xdr:row>39</xdr:row>
      <xdr:rowOff>13334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C9A03-4A1C-CE03-857C-DF8DA20B3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3</xdr:row>
      <xdr:rowOff>62865</xdr:rowOff>
    </xdr:from>
    <xdr:to>
      <xdr:col>18</xdr:col>
      <xdr:colOff>476250</xdr:colOff>
      <xdr:row>22</xdr:row>
      <xdr:rowOff>180022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4F034-ED74-0667-82FE-A47AAB50C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7F796-55F9-4E87-A0FB-2EA3786DC66A}" name="Table1" displayName="Table1" ref="A1:E38" totalsRowShown="0">
  <autoFilter ref="A1:E38" xr:uid="{DFE7F796-55F9-4E87-A0FB-2EA3786DC66A}"/>
  <tableColumns count="5">
    <tableColumn id="1" xr3:uid="{C8BC2C14-344F-4720-B383-E847899D9015}" name="Date" dataDxfId="4"/>
    <tableColumn id="2" xr3:uid="{01923CCC-DECE-4697-B507-B2170157A3DF}" name="Sales (Thousands $)" dataDxfId="3"/>
    <tableColumn id="3" xr3:uid="{566AEEB2-7DDA-4972-B2B6-266BE1D3A91E}" name="Forecast(Sales (Thousands $))" dataDxfId="2">
      <calculatedColumnFormula>_xlfn.FORECAST.ETS(A2,$B$2:$B$13,$A$2:$A$13,4,1)</calculatedColumnFormula>
    </tableColumn>
    <tableColumn id="4" xr3:uid="{A09A36D3-3469-41EA-B035-A451B61B8D47}" name="Lower Confidence Bound(Sales (Thousands $))" dataDxfId="1">
      <calculatedColumnFormula>C2-_xlfn.FORECAST.ETS.CONFINT(A2,$B$2:$B$13,$A$2:$A$13,0.95,4,1)</calculatedColumnFormula>
    </tableColumn>
    <tableColumn id="5" xr3:uid="{0524AD7D-DCB2-4938-A9C1-0DF42A848D65}" name="Upper Confidence Bound(Sales (Thousands $))" dataDxfId="0">
      <calculatedColumnFormula>C2+_xlfn.FORECAST.ETS.CONFINT(A2,$B$2:$B$13,$A$2:$A$13,0.95,4,1)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F6F2-DBFE-43F9-8F3B-99C91C939693}">
  <dimension ref="A1:E38"/>
  <sheetViews>
    <sheetView workbookViewId="0">
      <pane ySplit="1" topLeftCell="A14" activePane="bottomLeft" state="frozen"/>
      <selection pane="bottomLeft" sqref="A1:XFD1"/>
    </sheetView>
  </sheetViews>
  <sheetFormatPr defaultRowHeight="14.4" x14ac:dyDescent="0.3"/>
  <cols>
    <col min="1" max="1" width="10.5546875" bestFit="1" customWidth="1"/>
    <col min="2" max="2" width="19.77734375" customWidth="1"/>
    <col min="3" max="3" width="28.33203125" customWidth="1"/>
    <col min="4" max="4" width="42.6640625" customWidth="1"/>
    <col min="5" max="5" width="42.7773437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44956</v>
      </c>
      <c r="B2" s="2">
        <v>18500</v>
      </c>
    </row>
    <row r="3" spans="1:5" x14ac:dyDescent="0.3">
      <c r="A3" s="1">
        <v>44985</v>
      </c>
      <c r="B3" s="2">
        <v>17900</v>
      </c>
    </row>
    <row r="4" spans="1:5" x14ac:dyDescent="0.3">
      <c r="A4" s="1">
        <v>45015</v>
      </c>
      <c r="B4" s="2">
        <v>19200</v>
      </c>
    </row>
    <row r="5" spans="1:5" x14ac:dyDescent="0.3">
      <c r="A5" s="1">
        <v>45046</v>
      </c>
      <c r="B5" s="2">
        <v>19800</v>
      </c>
    </row>
    <row r="6" spans="1:5" x14ac:dyDescent="0.3">
      <c r="A6" s="1">
        <v>45076</v>
      </c>
      <c r="B6" s="2">
        <v>20500</v>
      </c>
    </row>
    <row r="7" spans="1:5" x14ac:dyDescent="0.3">
      <c r="A7" s="1">
        <v>45107</v>
      </c>
      <c r="B7" s="2">
        <v>21000</v>
      </c>
    </row>
    <row r="8" spans="1:5" x14ac:dyDescent="0.3">
      <c r="A8" s="1">
        <v>45137</v>
      </c>
      <c r="B8" s="2">
        <v>20800</v>
      </c>
    </row>
    <row r="9" spans="1:5" x14ac:dyDescent="0.3">
      <c r="A9" s="1">
        <v>45168</v>
      </c>
      <c r="B9" s="2">
        <v>20400</v>
      </c>
    </row>
    <row r="10" spans="1:5" x14ac:dyDescent="0.3">
      <c r="A10" s="1">
        <v>45199</v>
      </c>
      <c r="B10" s="2">
        <v>21500</v>
      </c>
    </row>
    <row r="11" spans="1:5" x14ac:dyDescent="0.3">
      <c r="A11" s="1">
        <v>45229</v>
      </c>
      <c r="B11" s="2">
        <v>22000</v>
      </c>
    </row>
    <row r="12" spans="1:5" x14ac:dyDescent="0.3">
      <c r="A12" s="1">
        <v>45260</v>
      </c>
      <c r="B12" s="2">
        <v>23500</v>
      </c>
    </row>
    <row r="13" spans="1:5" x14ac:dyDescent="0.3">
      <c r="A13" s="1">
        <v>45290</v>
      </c>
      <c r="B13" s="2">
        <v>25000</v>
      </c>
      <c r="C13" s="2">
        <v>25000</v>
      </c>
      <c r="D13" s="2">
        <v>25000</v>
      </c>
      <c r="E13" s="2">
        <v>25000</v>
      </c>
    </row>
    <row r="14" spans="1:5" x14ac:dyDescent="0.3">
      <c r="A14" s="1">
        <v>45321</v>
      </c>
      <c r="B14" s="2">
        <v>19000</v>
      </c>
      <c r="C14" s="2">
        <f t="shared" ref="C14:C38" si="0">_xlfn.FORECAST.ETS(A14,$B$2:$B$13,$A$2:$A$13,4,1)</f>
        <v>24624.188552443993</v>
      </c>
      <c r="D14" s="2">
        <f t="shared" ref="D14:D38" si="1">C14-_xlfn.FORECAST.ETS.CONFINT(A14,$B$2:$B$13,$A$2:$A$13,0.95,4,1)</f>
        <v>23220.001049132738</v>
      </c>
      <c r="E14" s="2">
        <f t="shared" ref="E14:E38" si="2">C14+_xlfn.FORECAST.ETS.CONFINT(A14,$B$2:$B$13,$A$2:$A$13,0.95,4,1)</f>
        <v>26028.376055755249</v>
      </c>
    </row>
    <row r="15" spans="1:5" x14ac:dyDescent="0.3">
      <c r="A15" s="1">
        <v>45350</v>
      </c>
      <c r="B15" s="2">
        <v>18500</v>
      </c>
      <c r="C15" s="2">
        <f t="shared" si="0"/>
        <v>24490.529710192684</v>
      </c>
      <c r="D15" s="2">
        <f t="shared" si="1"/>
        <v>23075.788383014453</v>
      </c>
      <c r="E15" s="2">
        <f t="shared" si="2"/>
        <v>25905.271037370916</v>
      </c>
    </row>
    <row r="16" spans="1:5" x14ac:dyDescent="0.3">
      <c r="A16" s="1">
        <v>45381</v>
      </c>
      <c r="B16" s="2">
        <v>20000</v>
      </c>
      <c r="C16" s="2">
        <f t="shared" si="0"/>
        <v>25099.168262842628</v>
      </c>
      <c r="D16" s="2">
        <f t="shared" si="1"/>
        <v>23672.33617398165</v>
      </c>
      <c r="E16" s="2">
        <f t="shared" si="2"/>
        <v>26526.000351703606</v>
      </c>
    </row>
    <row r="17" spans="1:5" x14ac:dyDescent="0.3">
      <c r="A17" s="1">
        <v>45412</v>
      </c>
      <c r="B17" s="2">
        <v>20500</v>
      </c>
      <c r="C17" s="2">
        <f t="shared" si="0"/>
        <v>26018.247133902307</v>
      </c>
      <c r="D17" s="2">
        <f t="shared" si="1"/>
        <v>24579.962886096724</v>
      </c>
      <c r="E17" s="2">
        <f t="shared" si="2"/>
        <v>27456.53138170789</v>
      </c>
    </row>
    <row r="18" spans="1:5" x14ac:dyDescent="0.3">
      <c r="A18" s="1">
        <v>45442</v>
      </c>
      <c r="B18" s="2">
        <v>21200</v>
      </c>
      <c r="C18" s="2">
        <f t="shared" si="0"/>
        <v>26698.847338241383</v>
      </c>
      <c r="D18" s="2">
        <f t="shared" si="1"/>
        <v>25248.847803313503</v>
      </c>
      <c r="E18" s="2">
        <f t="shared" si="2"/>
        <v>28148.846873169263</v>
      </c>
    </row>
    <row r="19" spans="1:5" x14ac:dyDescent="0.3">
      <c r="A19" s="1">
        <v>45473</v>
      </c>
      <c r="B19" s="2">
        <v>21800</v>
      </c>
      <c r="C19" s="2">
        <f t="shared" si="0"/>
        <v>26555.970644800327</v>
      </c>
      <c r="D19" s="2">
        <f t="shared" si="1"/>
        <v>25094.349720929684</v>
      </c>
      <c r="E19" s="2">
        <f t="shared" si="2"/>
        <v>28017.59156867097</v>
      </c>
    </row>
    <row r="20" spans="1:5" x14ac:dyDescent="0.3">
      <c r="A20" s="1">
        <v>45503</v>
      </c>
      <c r="B20" s="2">
        <v>21500</v>
      </c>
      <c r="C20" s="2">
        <f t="shared" si="0"/>
        <v>27173.827048640018</v>
      </c>
      <c r="D20" s="2">
        <f t="shared" si="1"/>
        <v>25700.500415747276</v>
      </c>
      <c r="E20" s="2">
        <f t="shared" si="2"/>
        <v>28647.15368153276</v>
      </c>
    </row>
    <row r="21" spans="1:5" x14ac:dyDescent="0.3">
      <c r="A21" s="1">
        <v>45534</v>
      </c>
      <c r="B21" s="2">
        <v>21000</v>
      </c>
      <c r="C21" s="2">
        <f t="shared" si="0"/>
        <v>28092.9059196997</v>
      </c>
      <c r="D21" s="2">
        <f t="shared" si="1"/>
        <v>26607.789923873133</v>
      </c>
      <c r="E21" s="2">
        <f t="shared" si="2"/>
        <v>29578.021915526268</v>
      </c>
    </row>
    <row r="22" spans="1:5" x14ac:dyDescent="0.3">
      <c r="A22" s="1">
        <v>45565</v>
      </c>
      <c r="B22" s="2">
        <v>22500</v>
      </c>
      <c r="C22" s="2">
        <f t="shared" si="0"/>
        <v>28773.506124038777</v>
      </c>
      <c r="D22" s="2">
        <f t="shared" si="1"/>
        <v>27276.340625861427</v>
      </c>
      <c r="E22" s="2">
        <f t="shared" si="2"/>
        <v>30270.671622216127</v>
      </c>
    </row>
    <row r="23" spans="1:5" x14ac:dyDescent="0.3">
      <c r="A23" s="1">
        <v>45595</v>
      </c>
      <c r="B23" s="2">
        <v>23200</v>
      </c>
      <c r="C23" s="2">
        <f t="shared" si="0"/>
        <v>28630.629430597721</v>
      </c>
      <c r="D23" s="2">
        <f t="shared" si="1"/>
        <v>27121.510635802115</v>
      </c>
      <c r="E23" s="2">
        <f t="shared" si="2"/>
        <v>30139.748225393327</v>
      </c>
    </row>
    <row r="24" spans="1:5" x14ac:dyDescent="0.3">
      <c r="A24" s="1">
        <v>45626</v>
      </c>
      <c r="B24" s="2">
        <v>24800</v>
      </c>
      <c r="C24" s="2">
        <f t="shared" si="0"/>
        <v>29248.485834437412</v>
      </c>
      <c r="D24" s="2">
        <f t="shared" si="1"/>
        <v>27727.332033236631</v>
      </c>
      <c r="E24" s="2">
        <f t="shared" si="2"/>
        <v>30769.639635638192</v>
      </c>
    </row>
    <row r="25" spans="1:5" x14ac:dyDescent="0.3">
      <c r="A25" s="1">
        <v>45656</v>
      </c>
      <c r="B25" s="2">
        <v>26500</v>
      </c>
      <c r="C25" s="2">
        <f t="shared" si="0"/>
        <v>30167.564705497094</v>
      </c>
      <c r="D25" s="2">
        <f t="shared" si="1"/>
        <v>28634.294826211495</v>
      </c>
      <c r="E25" s="2">
        <f t="shared" si="2"/>
        <v>31700.834584782693</v>
      </c>
    </row>
    <row r="26" spans="1:5" x14ac:dyDescent="0.3">
      <c r="A26" s="1">
        <v>45687</v>
      </c>
      <c r="B26" s="2">
        <v>20500</v>
      </c>
      <c r="C26" s="2">
        <f t="shared" si="0"/>
        <v>30848.16490983617</v>
      </c>
      <c r="D26" s="2">
        <f t="shared" si="1"/>
        <v>29302.521820236925</v>
      </c>
      <c r="E26" s="2">
        <f t="shared" si="2"/>
        <v>32393.807999435416</v>
      </c>
    </row>
    <row r="27" spans="1:5" x14ac:dyDescent="0.3">
      <c r="A27" s="1">
        <v>45716</v>
      </c>
      <c r="B27" s="2">
        <v>19800</v>
      </c>
      <c r="C27" s="2">
        <f t="shared" si="0"/>
        <v>30714.506067584858</v>
      </c>
      <c r="D27" s="2">
        <f t="shared" si="1"/>
        <v>29157.377046198591</v>
      </c>
      <c r="E27" s="2">
        <f t="shared" si="2"/>
        <v>32271.635088971125</v>
      </c>
    </row>
    <row r="28" spans="1:5" x14ac:dyDescent="0.3">
      <c r="A28" s="1">
        <v>45746</v>
      </c>
      <c r="B28" s="2">
        <v>21500</v>
      </c>
      <c r="C28" s="2">
        <f t="shared" si="0"/>
        <v>31323.144620234802</v>
      </c>
      <c r="D28" s="2">
        <f t="shared" si="1"/>
        <v>29752.872429817278</v>
      </c>
      <c r="E28" s="2">
        <f t="shared" si="2"/>
        <v>32893.416810652328</v>
      </c>
    </row>
    <row r="29" spans="1:5" x14ac:dyDescent="0.3">
      <c r="A29" s="1">
        <v>45777</v>
      </c>
      <c r="B29" s="2">
        <v>22000</v>
      </c>
      <c r="C29" s="2">
        <f t="shared" si="0"/>
        <v>32242.223491294484</v>
      </c>
      <c r="D29" s="2">
        <f t="shared" si="1"/>
        <v>30659.518539155593</v>
      </c>
      <c r="E29" s="2">
        <f t="shared" si="2"/>
        <v>33824.928443433375</v>
      </c>
    </row>
    <row r="30" spans="1:5" x14ac:dyDescent="0.3">
      <c r="A30" s="1">
        <v>45807</v>
      </c>
      <c r="B30" s="2">
        <v>22800</v>
      </c>
      <c r="C30" s="2">
        <f t="shared" si="0"/>
        <v>32922.82369563356</v>
      </c>
      <c r="D30" s="2">
        <f t="shared" si="1"/>
        <v>31327.431853854076</v>
      </c>
      <c r="E30" s="2">
        <f t="shared" si="2"/>
        <v>34518.215537413045</v>
      </c>
    </row>
    <row r="31" spans="1:5" x14ac:dyDescent="0.3">
      <c r="A31" s="1">
        <v>45838</v>
      </c>
      <c r="B31" s="2">
        <v>23500</v>
      </c>
      <c r="C31" s="2">
        <f t="shared" si="0"/>
        <v>32779.947002192508</v>
      </c>
      <c r="D31" s="2">
        <f t="shared" si="1"/>
        <v>31171.968366728681</v>
      </c>
      <c r="E31" s="2">
        <f t="shared" si="2"/>
        <v>34387.925637656335</v>
      </c>
    </row>
    <row r="32" spans="1:5" x14ac:dyDescent="0.3">
      <c r="A32" s="1">
        <v>45868</v>
      </c>
      <c r="B32" s="2">
        <v>23000</v>
      </c>
      <c r="C32" s="2">
        <f t="shared" si="0"/>
        <v>33397.803406032195</v>
      </c>
      <c r="D32" s="2">
        <f t="shared" si="1"/>
        <v>31777.161142758174</v>
      </c>
      <c r="E32" s="2">
        <f t="shared" si="2"/>
        <v>35018.445669306217</v>
      </c>
    </row>
    <row r="33" spans="1:5" x14ac:dyDescent="0.3">
      <c r="A33" s="1">
        <v>45899</v>
      </c>
      <c r="B33" s="2">
        <v>22500</v>
      </c>
      <c r="C33" s="2">
        <f t="shared" si="0"/>
        <v>34316.882277091878</v>
      </c>
      <c r="D33" s="2">
        <f t="shared" si="1"/>
        <v>32683.500131815668</v>
      </c>
      <c r="E33" s="2">
        <f t="shared" si="2"/>
        <v>35950.264422368091</v>
      </c>
    </row>
    <row r="34" spans="1:5" x14ac:dyDescent="0.3">
      <c r="A34" s="1">
        <v>45930</v>
      </c>
      <c r="B34" s="2">
        <v>24000</v>
      </c>
      <c r="C34" s="2">
        <f t="shared" si="0"/>
        <v>34997.482481430954</v>
      </c>
      <c r="D34" s="2">
        <f t="shared" si="1"/>
        <v>33351.109310746295</v>
      </c>
      <c r="E34" s="2">
        <f t="shared" si="2"/>
        <v>36643.855652115613</v>
      </c>
    </row>
    <row r="35" spans="1:5" x14ac:dyDescent="0.3">
      <c r="A35" s="1">
        <v>45960</v>
      </c>
      <c r="B35" s="2">
        <v>25000</v>
      </c>
      <c r="C35" s="2">
        <f t="shared" si="0"/>
        <v>34854.605787989894</v>
      </c>
      <c r="D35" s="2">
        <f t="shared" si="1"/>
        <v>33195.343300680128</v>
      </c>
      <c r="E35" s="2">
        <f t="shared" si="2"/>
        <v>36513.868275299661</v>
      </c>
    </row>
    <row r="36" spans="1:5" x14ac:dyDescent="0.3">
      <c r="A36" s="1">
        <v>45991</v>
      </c>
      <c r="B36" s="2">
        <v>27000</v>
      </c>
      <c r="C36" s="2">
        <f t="shared" si="0"/>
        <v>35472.462191829589</v>
      </c>
      <c r="D36" s="2">
        <f t="shared" si="1"/>
        <v>33800.235816458378</v>
      </c>
      <c r="E36" s="2">
        <f t="shared" si="2"/>
        <v>37144.688567200799</v>
      </c>
    </row>
    <row r="37" spans="1:5" x14ac:dyDescent="0.3">
      <c r="A37" s="1">
        <v>46021</v>
      </c>
      <c r="B37" s="2">
        <v>29000</v>
      </c>
      <c r="C37" s="2">
        <f t="shared" si="0"/>
        <v>36391.541062889271</v>
      </c>
      <c r="D37" s="2">
        <f t="shared" si="1"/>
        <v>34706.276778951404</v>
      </c>
      <c r="E37" s="2">
        <f t="shared" si="2"/>
        <v>38076.805346827139</v>
      </c>
    </row>
    <row r="38" spans="1:5" x14ac:dyDescent="0.3">
      <c r="A38" s="1">
        <v>46022</v>
      </c>
      <c r="C38" s="2">
        <f t="shared" si="0"/>
        <v>36413.495908190533</v>
      </c>
      <c r="D38" s="2">
        <f t="shared" si="1"/>
        <v>34727.80140586802</v>
      </c>
      <c r="E38" s="2">
        <f t="shared" si="2"/>
        <v>38099.190410513045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CE14-0F09-4658-A6AC-426D24F18E9C}">
  <dimension ref="A1:C37"/>
  <sheetViews>
    <sheetView tabSelected="1" workbookViewId="0">
      <selection activeCell="F20" sqref="F20"/>
    </sheetView>
  </sheetViews>
  <sheetFormatPr defaultRowHeight="14.4" x14ac:dyDescent="0.3"/>
  <cols>
    <col min="2" max="2" width="12.77734375" bestFit="1" customWidth="1"/>
    <col min="3" max="3" width="10.44140625" bestFit="1" customWidth="1"/>
  </cols>
  <sheetData>
    <row r="1" spans="1:3" ht="55.8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4">
        <v>1</v>
      </c>
      <c r="B2" s="5">
        <v>44956</v>
      </c>
      <c r="C2" s="6">
        <v>18500</v>
      </c>
    </row>
    <row r="3" spans="1:3" ht="15" thickBot="1" x14ac:dyDescent="0.35">
      <c r="A3" s="4">
        <v>2</v>
      </c>
      <c r="B3" s="5">
        <v>44985</v>
      </c>
      <c r="C3" s="6">
        <v>17900</v>
      </c>
    </row>
    <row r="4" spans="1:3" ht="15" thickBot="1" x14ac:dyDescent="0.35">
      <c r="A4" s="4">
        <v>3</v>
      </c>
      <c r="B4" s="5">
        <v>45015</v>
      </c>
      <c r="C4" s="6">
        <v>19200</v>
      </c>
    </row>
    <row r="5" spans="1:3" ht="15" thickBot="1" x14ac:dyDescent="0.35">
      <c r="A5" s="4">
        <v>4</v>
      </c>
      <c r="B5" s="5">
        <v>45046</v>
      </c>
      <c r="C5" s="6">
        <v>19800</v>
      </c>
    </row>
    <row r="6" spans="1:3" ht="15" thickBot="1" x14ac:dyDescent="0.35">
      <c r="A6" s="4">
        <v>1</v>
      </c>
      <c r="B6" s="5">
        <v>45076</v>
      </c>
      <c r="C6" s="6">
        <v>20500</v>
      </c>
    </row>
    <row r="7" spans="1:3" ht="15" thickBot="1" x14ac:dyDescent="0.35">
      <c r="A7" s="4">
        <v>2</v>
      </c>
      <c r="B7" s="5">
        <v>45107</v>
      </c>
      <c r="C7" s="6">
        <v>21000</v>
      </c>
    </row>
    <row r="8" spans="1:3" ht="15" thickBot="1" x14ac:dyDescent="0.35">
      <c r="A8" s="4">
        <v>3</v>
      </c>
      <c r="B8" s="5">
        <v>45137</v>
      </c>
      <c r="C8" s="6">
        <v>20800</v>
      </c>
    </row>
    <row r="9" spans="1:3" ht="15" thickBot="1" x14ac:dyDescent="0.35">
      <c r="A9" s="4">
        <v>4</v>
      </c>
      <c r="B9" s="5">
        <v>45168</v>
      </c>
      <c r="C9" s="6">
        <v>20400</v>
      </c>
    </row>
    <row r="10" spans="1:3" ht="15" thickBot="1" x14ac:dyDescent="0.35">
      <c r="A10" s="4">
        <v>1</v>
      </c>
      <c r="B10" s="5">
        <v>45199</v>
      </c>
      <c r="C10" s="6">
        <v>21500</v>
      </c>
    </row>
    <row r="11" spans="1:3" ht="15" thickBot="1" x14ac:dyDescent="0.35">
      <c r="A11" s="4">
        <v>2</v>
      </c>
      <c r="B11" s="5">
        <v>45229</v>
      </c>
      <c r="C11" s="6">
        <v>22000</v>
      </c>
    </row>
    <row r="12" spans="1:3" ht="15" thickBot="1" x14ac:dyDescent="0.35">
      <c r="A12" s="4">
        <v>3</v>
      </c>
      <c r="B12" s="5">
        <v>45260</v>
      </c>
      <c r="C12" s="6">
        <v>23500</v>
      </c>
    </row>
    <row r="13" spans="1:3" ht="15" thickBot="1" x14ac:dyDescent="0.35">
      <c r="A13" s="4">
        <v>4</v>
      </c>
      <c r="B13" s="5">
        <v>45290</v>
      </c>
      <c r="C13" s="6">
        <v>25000</v>
      </c>
    </row>
    <row r="14" spans="1:3" ht="15" thickBot="1" x14ac:dyDescent="0.35">
      <c r="A14" s="4">
        <v>1</v>
      </c>
      <c r="B14" s="5">
        <v>45321</v>
      </c>
      <c r="C14" s="6">
        <v>19000</v>
      </c>
    </row>
    <row r="15" spans="1:3" ht="15" thickBot="1" x14ac:dyDescent="0.35">
      <c r="A15" s="4">
        <v>2</v>
      </c>
      <c r="B15" s="5">
        <v>45350</v>
      </c>
      <c r="C15" s="6">
        <v>18500</v>
      </c>
    </row>
    <row r="16" spans="1:3" ht="15" thickBot="1" x14ac:dyDescent="0.35">
      <c r="A16" s="4">
        <v>3</v>
      </c>
      <c r="B16" s="5">
        <v>45381</v>
      </c>
      <c r="C16" s="6">
        <v>20000</v>
      </c>
    </row>
    <row r="17" spans="1:3" ht="15" thickBot="1" x14ac:dyDescent="0.35">
      <c r="A17" s="4">
        <v>4</v>
      </c>
      <c r="B17" s="5">
        <v>45412</v>
      </c>
      <c r="C17" s="6">
        <v>20500</v>
      </c>
    </row>
    <row r="18" spans="1:3" ht="15" thickBot="1" x14ac:dyDescent="0.35">
      <c r="A18" s="4">
        <v>1</v>
      </c>
      <c r="B18" s="5">
        <v>45442</v>
      </c>
      <c r="C18" s="6">
        <v>21200</v>
      </c>
    </row>
    <row r="19" spans="1:3" ht="15" thickBot="1" x14ac:dyDescent="0.35">
      <c r="A19" s="4">
        <v>2</v>
      </c>
      <c r="B19" s="5">
        <v>45473</v>
      </c>
      <c r="C19" s="6">
        <v>21800</v>
      </c>
    </row>
    <row r="20" spans="1:3" ht="15" thickBot="1" x14ac:dyDescent="0.35">
      <c r="A20" s="4">
        <v>3</v>
      </c>
      <c r="B20" s="5">
        <v>45503</v>
      </c>
      <c r="C20" s="6">
        <v>21500</v>
      </c>
    </row>
    <row r="21" spans="1:3" ht="15" thickBot="1" x14ac:dyDescent="0.35">
      <c r="A21" s="4">
        <v>4</v>
      </c>
      <c r="B21" s="5">
        <v>45534</v>
      </c>
      <c r="C21" s="6">
        <v>21000</v>
      </c>
    </row>
    <row r="22" spans="1:3" ht="15" thickBot="1" x14ac:dyDescent="0.35">
      <c r="A22" s="4">
        <v>1</v>
      </c>
      <c r="B22" s="5">
        <v>45565</v>
      </c>
      <c r="C22" s="6">
        <v>22500</v>
      </c>
    </row>
    <row r="23" spans="1:3" ht="15" thickBot="1" x14ac:dyDescent="0.35">
      <c r="A23" s="4">
        <v>2</v>
      </c>
      <c r="B23" s="5">
        <v>45595</v>
      </c>
      <c r="C23" s="6">
        <v>23200</v>
      </c>
    </row>
    <row r="24" spans="1:3" ht="15" thickBot="1" x14ac:dyDescent="0.35">
      <c r="A24" s="4">
        <v>3</v>
      </c>
      <c r="B24" s="5">
        <v>45626</v>
      </c>
      <c r="C24" s="6">
        <v>24800</v>
      </c>
    </row>
    <row r="25" spans="1:3" ht="15" thickBot="1" x14ac:dyDescent="0.35">
      <c r="A25" s="4">
        <v>4</v>
      </c>
      <c r="B25" s="5">
        <v>45656</v>
      </c>
      <c r="C25" s="6">
        <v>26500</v>
      </c>
    </row>
    <row r="26" spans="1:3" ht="15" thickBot="1" x14ac:dyDescent="0.35">
      <c r="A26" s="4">
        <v>1</v>
      </c>
      <c r="B26" s="5">
        <v>45687</v>
      </c>
      <c r="C26" s="6">
        <v>20500</v>
      </c>
    </row>
    <row r="27" spans="1:3" ht="15" thickBot="1" x14ac:dyDescent="0.35">
      <c r="A27" s="4">
        <v>2</v>
      </c>
      <c r="B27" s="5">
        <v>45716</v>
      </c>
      <c r="C27" s="6">
        <v>19800</v>
      </c>
    </row>
    <row r="28" spans="1:3" ht="15" thickBot="1" x14ac:dyDescent="0.35">
      <c r="A28" s="4">
        <v>3</v>
      </c>
      <c r="B28" s="5">
        <v>45746</v>
      </c>
      <c r="C28" s="6">
        <v>21500</v>
      </c>
    </row>
    <row r="29" spans="1:3" ht="15" thickBot="1" x14ac:dyDescent="0.35">
      <c r="A29" s="4">
        <v>4</v>
      </c>
      <c r="B29" s="5">
        <v>45777</v>
      </c>
      <c r="C29" s="6">
        <v>22000</v>
      </c>
    </row>
    <row r="30" spans="1:3" ht="15" thickBot="1" x14ac:dyDescent="0.35">
      <c r="A30" s="4">
        <v>1</v>
      </c>
      <c r="B30" s="5">
        <v>45807</v>
      </c>
      <c r="C30" s="6">
        <v>22800</v>
      </c>
    </row>
    <row r="31" spans="1:3" ht="15" thickBot="1" x14ac:dyDescent="0.35">
      <c r="A31" s="4">
        <v>2</v>
      </c>
      <c r="B31" s="5">
        <v>45838</v>
      </c>
      <c r="C31" s="6">
        <v>23500</v>
      </c>
    </row>
    <row r="32" spans="1:3" ht="15" thickBot="1" x14ac:dyDescent="0.35">
      <c r="A32" s="4">
        <v>3</v>
      </c>
      <c r="B32" s="5">
        <v>45868</v>
      </c>
      <c r="C32" s="6">
        <v>23000</v>
      </c>
    </row>
    <row r="33" spans="1:3" ht="15" thickBot="1" x14ac:dyDescent="0.35">
      <c r="A33" s="4">
        <v>4</v>
      </c>
      <c r="B33" s="5">
        <v>45899</v>
      </c>
      <c r="C33" s="6">
        <v>22500</v>
      </c>
    </row>
    <row r="34" spans="1:3" ht="15" thickBot="1" x14ac:dyDescent="0.35">
      <c r="A34" s="4">
        <v>1</v>
      </c>
      <c r="B34" s="5">
        <v>45930</v>
      </c>
      <c r="C34" s="6">
        <v>24000</v>
      </c>
    </row>
    <row r="35" spans="1:3" ht="15" thickBot="1" x14ac:dyDescent="0.35">
      <c r="A35" s="4">
        <v>2</v>
      </c>
      <c r="B35" s="5">
        <v>45960</v>
      </c>
      <c r="C35" s="6">
        <v>25000</v>
      </c>
    </row>
    <row r="36" spans="1:3" ht="15" thickBot="1" x14ac:dyDescent="0.35">
      <c r="A36" s="4">
        <v>3</v>
      </c>
      <c r="B36" s="5">
        <v>45991</v>
      </c>
      <c r="C36" s="6">
        <v>27000</v>
      </c>
    </row>
    <row r="37" spans="1:3" ht="15" thickBot="1" x14ac:dyDescent="0.35">
      <c r="A37" s="4">
        <v>4</v>
      </c>
      <c r="B37" s="5">
        <v>46021</v>
      </c>
      <c r="C37" s="6">
        <v>29000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Uzma Asif Shah</dc:creator>
  <cp:lastModifiedBy>Uzma Ejaz</cp:lastModifiedBy>
  <dcterms:created xsi:type="dcterms:W3CDTF">2025-12-05T10:41:15Z</dcterms:created>
  <dcterms:modified xsi:type="dcterms:W3CDTF">2026-07-21T16:07:51Z</dcterms:modified>
</cp:coreProperties>
</file>
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c424bc2314ddf/Desktop/MS Excel Data ANalysis Projects/Real World Projects/Percentage_Calculation_Analysis project/"/>
    </mc:Choice>
  </mc:AlternateContent>
  <xr:revisionPtr revIDLastSave="1" documentId="11_00CE3110738F61023F771F7924F180E6C8C32978" xr6:coauthVersionLast="47" xr6:coauthVersionMax="47" xr10:uidLastSave="{63BE7BAC-DC64-436D-8625-016EDCC36FA9}"/>
  <bookViews>
    <workbookView xWindow="-57720" yWindow="735" windowWidth="29040" windowHeight="15720" tabRatio="500" xr2:uid="{00000000-000D-0000-FFFF-FFFF00000000}"/>
  </bookViews>
  <sheets>
    <sheet name="Profit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H11" i="1"/>
  <c r="H7" i="1"/>
  <c r="H6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H10" i="1" l="1"/>
  <c r="H8" i="1"/>
  <c r="H9" i="1"/>
</calcChain>
</file>

<file path=xl/sharedStrings.xml><?xml version="1.0" encoding="utf-8"?>
<sst xmlns="http://schemas.openxmlformats.org/spreadsheetml/2006/main" count="11" uniqueCount="11">
  <si>
    <t>Year</t>
  </si>
  <si>
    <t>Profit ($)</t>
  </si>
  <si>
    <t>% Change</t>
  </si>
  <si>
    <t>Summary Statistics</t>
  </si>
  <si>
    <t>Average Profit</t>
  </si>
  <si>
    <t>Highest Profit</t>
  </si>
  <si>
    <t>Lowest Profit</t>
  </si>
  <si>
    <t>Average % Change</t>
  </si>
  <si>
    <t>Highest % Change</t>
  </si>
  <si>
    <t>Lowest % Change</t>
  </si>
  <si>
    <t>Total Growth (2005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</si>
</sst>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3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164" fontId="5" fillId="5" borderId="0" xfId="0" applyNumberFormat="1" applyFont="1" applyFill="1"/>
    <xf numFmtId="165" fontId="5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Trend (2005-2024)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Data'!$B$1</c:f>
              <c:strCache>
                <c:ptCount val="1"/>
                <c:pt idx="0">
                  <c:v>Profit ($)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'Profit Data'!$A$2:$A$21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'Profit Data'!$B$2:$B$21</c:f>
              <c:numCache>
                <c:formatCode>\$#,##0</c:formatCode>
                <c:ptCount val="20"/>
                <c:pt idx="0">
                  <c:v>120000</c:v>
                </c:pt>
                <c:pt idx="1">
                  <c:v>135000</c:v>
                </c:pt>
                <c:pt idx="2">
                  <c:v>128000</c:v>
                </c:pt>
                <c:pt idx="3">
                  <c:v>98000</c:v>
                </c:pt>
                <c:pt idx="4">
                  <c:v>105000</c:v>
                </c:pt>
                <c:pt idx="5">
                  <c:v>142000</c:v>
                </c:pt>
                <c:pt idx="6">
                  <c:v>168000</c:v>
                </c:pt>
                <c:pt idx="7">
                  <c:v>190000</c:v>
                </c:pt>
                <c:pt idx="8">
                  <c:v>175000</c:v>
                </c:pt>
                <c:pt idx="9">
                  <c:v>210000</c:v>
                </c:pt>
                <c:pt idx="10">
                  <c:v>245000</c:v>
                </c:pt>
                <c:pt idx="11">
                  <c:v>238000</c:v>
                </c:pt>
                <c:pt idx="12">
                  <c:v>260000</c:v>
                </c:pt>
                <c:pt idx="13">
                  <c:v>290000</c:v>
                </c:pt>
                <c:pt idx="14">
                  <c:v>275000</c:v>
                </c:pt>
                <c:pt idx="15">
                  <c:v>310000</c:v>
                </c:pt>
                <c:pt idx="16">
                  <c:v>350000</c:v>
                </c:pt>
                <c:pt idx="17">
                  <c:v>330000</c:v>
                </c:pt>
                <c:pt idx="18">
                  <c:v>380000</c:v>
                </c:pt>
                <c:pt idx="19">
                  <c:v>420000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16-46A1-AF25-1039D982C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628596"/>
        <c:axId val="97736458"/>
      </c:lineChart>
      <c:catAx>
        <c:axId val="31628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736458"/>
        <c:crosses val="autoZero"/>
        <c:auto val="1"/>
        <c:lblAlgn val="ctr"/>
        <c:lblOffset val="100"/>
        <c:noMultiLvlLbl val="0"/>
      </c:catAx>
      <c:valAx>
        <c:axId val="97736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285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Year-over-Year % Change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7127860476319795E-2"/>
          <c:y val="0.1436926627087016"/>
          <c:w val="0.89952210151294321"/>
          <c:h val="0.74891706079833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Data'!$C$1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'Profit Data'!$A$2:$A$21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'Profit Data'!$C$2:$C$21</c:f>
              <c:numCache>
                <c:formatCode>0.0%</c:formatCode>
                <c:ptCount val="20"/>
                <c:pt idx="1">
                  <c:v>0.125</c:v>
                </c:pt>
                <c:pt idx="2">
                  <c:v>-5.185185185185185E-2</c:v>
                </c:pt>
                <c:pt idx="3">
                  <c:v>-0.234375</c:v>
                </c:pt>
                <c:pt idx="4">
                  <c:v>7.1428571428571425E-2</c:v>
                </c:pt>
                <c:pt idx="5">
                  <c:v>0.35238095238095241</c:v>
                </c:pt>
                <c:pt idx="6">
                  <c:v>0.18309859154929578</c:v>
                </c:pt>
                <c:pt idx="7">
                  <c:v>0.13095238095238096</c:v>
                </c:pt>
                <c:pt idx="8">
                  <c:v>-7.8947368421052627E-2</c:v>
                </c:pt>
                <c:pt idx="9">
                  <c:v>0.2</c:v>
                </c:pt>
                <c:pt idx="10">
                  <c:v>0.16666666666666666</c:v>
                </c:pt>
                <c:pt idx="11">
                  <c:v>-2.8571428571428571E-2</c:v>
                </c:pt>
                <c:pt idx="12">
                  <c:v>9.2436974789915971E-2</c:v>
                </c:pt>
                <c:pt idx="13">
                  <c:v>0.11538461538461539</c:v>
                </c:pt>
                <c:pt idx="14">
                  <c:v>-5.1724137931034482E-2</c:v>
                </c:pt>
                <c:pt idx="15">
                  <c:v>0.12727272727272726</c:v>
                </c:pt>
                <c:pt idx="16">
                  <c:v>0.12903225806451613</c:v>
                </c:pt>
                <c:pt idx="17">
                  <c:v>-5.7142857142857141E-2</c:v>
                </c:pt>
                <c:pt idx="18">
                  <c:v>0.15151515151515152</c:v>
                </c:pt>
                <c:pt idx="19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C-4BEE-A8ED-BBE1A4278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73049"/>
        <c:axId val="90021869"/>
      </c:barChart>
      <c:catAx>
        <c:axId val="85673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21869"/>
        <c:crosses val="autoZero"/>
        <c:auto val="1"/>
        <c:lblAlgn val="ctr"/>
        <c:lblOffset val="100"/>
        <c:noMultiLvlLbl val="0"/>
      </c:catAx>
      <c:valAx>
        <c:axId val="90021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73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89534</xdr:colOff>
      <xdr:row>1</xdr:row>
      <xdr:rowOff>59055</xdr:rowOff>
    </xdr:from>
    <xdr:to>
      <xdr:col>25</xdr:col>
      <xdr:colOff>577814</xdr:colOff>
      <xdr:row>20</xdr:row>
      <xdr:rowOff>16335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493395</xdr:colOff>
      <xdr:row>19</xdr:row>
      <xdr:rowOff>131445</xdr:rowOff>
    </xdr:from>
    <xdr:to>
      <xdr:col>26</xdr:col>
      <xdr:colOff>12030</xdr:colOff>
      <xdr:row>38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1" topLeftCell="A2" activePane="bottomLeft" state="frozen"/>
      <selection pane="bottomLeft" activeCell="I17" sqref="I17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2" customWidth="1"/>
    <col min="7" max="7" width="26.6640625" bestFit="1" customWidth="1"/>
    <col min="8" max="8" width="9.3320312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</row>
    <row r="2" spans="1:8" x14ac:dyDescent="0.3">
      <c r="A2" s="2">
        <v>2005</v>
      </c>
      <c r="B2" s="3">
        <v>120000</v>
      </c>
      <c r="C2" s="4"/>
    </row>
    <row r="3" spans="1:8" x14ac:dyDescent="0.3">
      <c r="A3" s="2">
        <v>2006</v>
      </c>
      <c r="B3" s="3">
        <v>135000</v>
      </c>
      <c r="C3" s="5">
        <f t="shared" ref="C3:C21" si="0">(B3-B2)/B2</f>
        <v>0.125</v>
      </c>
    </row>
    <row r="4" spans="1:8" ht="16.8" x14ac:dyDescent="0.3">
      <c r="A4" s="2">
        <v>2007</v>
      </c>
      <c r="B4" s="3">
        <v>128000</v>
      </c>
      <c r="C4" s="5">
        <f t="shared" si="0"/>
        <v>-5.185185185185185E-2</v>
      </c>
      <c r="G4" s="6" t="s">
        <v>3</v>
      </c>
      <c r="H4" s="7"/>
    </row>
    <row r="5" spans="1:8" x14ac:dyDescent="0.3">
      <c r="A5" s="2">
        <v>2008</v>
      </c>
      <c r="B5" s="3">
        <v>98000</v>
      </c>
      <c r="C5" s="5">
        <f t="shared" si="0"/>
        <v>-0.234375</v>
      </c>
      <c r="G5" s="8" t="s">
        <v>4</v>
      </c>
      <c r="H5" s="9">
        <f>AVERAGE(B2:B21)</f>
        <v>228450</v>
      </c>
    </row>
    <row r="6" spans="1:8" x14ac:dyDescent="0.3">
      <c r="A6" s="2">
        <v>2009</v>
      </c>
      <c r="B6" s="3">
        <v>105000</v>
      </c>
      <c r="C6" s="5">
        <f t="shared" si="0"/>
        <v>7.1428571428571425E-2</v>
      </c>
      <c r="G6" s="8" t="s">
        <v>5</v>
      </c>
      <c r="H6" s="9">
        <f>MAX(B2:B21)</f>
        <v>420000</v>
      </c>
    </row>
    <row r="7" spans="1:8" x14ac:dyDescent="0.3">
      <c r="A7" s="2">
        <v>2010</v>
      </c>
      <c r="B7" s="3">
        <v>142000</v>
      </c>
      <c r="C7" s="5">
        <f t="shared" si="0"/>
        <v>0.35238095238095241</v>
      </c>
      <c r="G7" s="8" t="s">
        <v>6</v>
      </c>
      <c r="H7" s="9">
        <f>MIN(B2:B21)</f>
        <v>98000</v>
      </c>
    </row>
    <row r="8" spans="1:8" x14ac:dyDescent="0.3">
      <c r="A8" s="2">
        <v>2011</v>
      </c>
      <c r="B8" s="3">
        <v>168000</v>
      </c>
      <c r="C8" s="5">
        <f t="shared" si="0"/>
        <v>0.18309859154929578</v>
      </c>
      <c r="G8" s="8" t="s">
        <v>7</v>
      </c>
      <c r="H8" s="10">
        <f>AVERAGE(C3:C21)</f>
        <v>7.6201021262173957E-2</v>
      </c>
    </row>
    <row r="9" spans="1:8" x14ac:dyDescent="0.3">
      <c r="A9" s="2">
        <v>2012</v>
      </c>
      <c r="B9" s="3">
        <v>190000</v>
      </c>
      <c r="C9" s="5">
        <f t="shared" si="0"/>
        <v>0.13095238095238096</v>
      </c>
      <c r="G9" s="8" t="s">
        <v>8</v>
      </c>
      <c r="H9" s="10">
        <f>MAX(C3:C21)</f>
        <v>0.35238095238095241</v>
      </c>
    </row>
    <row r="10" spans="1:8" x14ac:dyDescent="0.3">
      <c r="A10" s="2">
        <v>2013</v>
      </c>
      <c r="B10" s="3">
        <v>175000</v>
      </c>
      <c r="C10" s="5">
        <f t="shared" si="0"/>
        <v>-7.8947368421052627E-2</v>
      </c>
      <c r="G10" s="8" t="s">
        <v>9</v>
      </c>
      <c r="H10" s="10">
        <f>MIN(C3:C21)</f>
        <v>-0.234375</v>
      </c>
    </row>
    <row r="11" spans="1:8" x14ac:dyDescent="0.3">
      <c r="A11" s="2">
        <v>2014</v>
      </c>
      <c r="B11" s="3">
        <v>210000</v>
      </c>
      <c r="C11" s="5">
        <f t="shared" si="0"/>
        <v>0.2</v>
      </c>
      <c r="G11" s="8" t="s">
        <v>10</v>
      </c>
      <c r="H11" s="10">
        <f>(B21-B2)/B2</f>
        <v>2.5</v>
      </c>
    </row>
    <row r="12" spans="1:8" x14ac:dyDescent="0.3">
      <c r="A12" s="2">
        <v>2015</v>
      </c>
      <c r="B12" s="3">
        <v>245000</v>
      </c>
      <c r="C12" s="5">
        <f t="shared" si="0"/>
        <v>0.16666666666666666</v>
      </c>
    </row>
    <row r="13" spans="1:8" x14ac:dyDescent="0.3">
      <c r="A13" s="2">
        <v>2016</v>
      </c>
      <c r="B13" s="3">
        <v>238000</v>
      </c>
      <c r="C13" s="5">
        <f t="shared" si="0"/>
        <v>-2.8571428571428571E-2</v>
      </c>
    </row>
    <row r="14" spans="1:8" x14ac:dyDescent="0.3">
      <c r="A14" s="2">
        <v>2017</v>
      </c>
      <c r="B14" s="3">
        <v>260000</v>
      </c>
      <c r="C14" s="5">
        <f t="shared" si="0"/>
        <v>9.2436974789915971E-2</v>
      </c>
    </row>
    <row r="15" spans="1:8" x14ac:dyDescent="0.3">
      <c r="A15" s="2">
        <v>2018</v>
      </c>
      <c r="B15" s="3">
        <v>290000</v>
      </c>
      <c r="C15" s="5">
        <f t="shared" si="0"/>
        <v>0.11538461538461539</v>
      </c>
    </row>
    <row r="16" spans="1:8" x14ac:dyDescent="0.3">
      <c r="A16" s="2">
        <v>2019</v>
      </c>
      <c r="B16" s="3">
        <v>275000</v>
      </c>
      <c r="C16" s="5">
        <f t="shared" si="0"/>
        <v>-5.1724137931034482E-2</v>
      </c>
    </row>
    <row r="17" spans="1:3" x14ac:dyDescent="0.3">
      <c r="A17" s="2">
        <v>2020</v>
      </c>
      <c r="B17" s="3">
        <v>310000</v>
      </c>
      <c r="C17" s="5">
        <f t="shared" si="0"/>
        <v>0.12727272727272726</v>
      </c>
    </row>
    <row r="18" spans="1:3" x14ac:dyDescent="0.3">
      <c r="A18" s="2">
        <v>2021</v>
      </c>
      <c r="B18" s="3">
        <v>350000</v>
      </c>
      <c r="C18" s="5">
        <f t="shared" si="0"/>
        <v>0.12903225806451613</v>
      </c>
    </row>
    <row r="19" spans="1:3" x14ac:dyDescent="0.3">
      <c r="A19" s="2">
        <v>2022</v>
      </c>
      <c r="B19" s="3">
        <v>330000</v>
      </c>
      <c r="C19" s="5">
        <f t="shared" si="0"/>
        <v>-5.7142857142857141E-2</v>
      </c>
    </row>
    <row r="20" spans="1:3" x14ac:dyDescent="0.3">
      <c r="A20" s="2">
        <v>2023</v>
      </c>
      <c r="B20" s="3">
        <v>380000</v>
      </c>
      <c r="C20" s="5">
        <f t="shared" si="0"/>
        <v>0.15151515151515152</v>
      </c>
    </row>
    <row r="21" spans="1:3" x14ac:dyDescent="0.3">
      <c r="A21" s="2">
        <v>2024</v>
      </c>
      <c r="B21" s="3">
        <v>420000</v>
      </c>
      <c r="C21" s="5">
        <f t="shared" si="0"/>
        <v>0.10526315789473684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1</cp:revision>
  <dcterms:created xsi:type="dcterms:W3CDTF">2026-07-22T01:44:59Z</dcterms:created>
  <dcterms:modified xsi:type="dcterms:W3CDTF">2026-07-22T19:01:00Z</dcterms:modified>
  <dc:language>en-US</dc:language>
</cp:coreProperties>
</file>